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8_{6B40487F-9F2C-467F-B922-3DDBF65B17D2}" xr6:coauthVersionLast="47" xr6:coauthVersionMax="47" xr10:uidLastSave="{00000000-0000-0000-0000-000000000000}"/>
  <bookViews>
    <workbookView xWindow="-108" yWindow="-108" windowWidth="23256" windowHeight="12456" activeTab="2" xr2:uid="{7D30693D-A8A4-41C8-B6F5-6945AFF7188F}"/>
  </bookViews>
  <sheets>
    <sheet name="Ratios with Formulae" sheetId="1" r:id="rId1"/>
    <sheet name="Analysis" sheetId="3" r:id="rId2"/>
    <sheet name="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19" i="3" s="1"/>
</calcChain>
</file>

<file path=xl/sharedStrings.xml><?xml version="1.0" encoding="utf-8"?>
<sst xmlns="http://schemas.openxmlformats.org/spreadsheetml/2006/main" count="238" uniqueCount="85">
  <si>
    <t>LIQUIDITY AND SOLVENCY RATIOS</t>
  </si>
  <si>
    <t>Current</t>
  </si>
  <si>
    <t>Current Assets</t>
  </si>
  <si>
    <t>Current Liabilities</t>
  </si>
  <si>
    <t>Quick</t>
  </si>
  <si>
    <t>Current Assets - Inventory</t>
  </si>
  <si>
    <t>Gearing</t>
  </si>
  <si>
    <t>Long-Term Debt</t>
  </si>
  <si>
    <t>Long Term Debt</t>
  </si>
  <si>
    <t>Debt</t>
  </si>
  <si>
    <t>LT Debt + Equity</t>
  </si>
  <si>
    <t>Debt + Equity</t>
  </si>
  <si>
    <t>PROFITABILITY RATIOS</t>
  </si>
  <si>
    <t>Gross Margin</t>
  </si>
  <si>
    <t>Gross Profit</t>
  </si>
  <si>
    <t>Sales</t>
  </si>
  <si>
    <t>Net Margin</t>
  </si>
  <si>
    <t>Net Profit Before Tax</t>
  </si>
  <si>
    <t>Sales-to-Assets</t>
  </si>
  <si>
    <t>Total Assets</t>
  </si>
  <si>
    <t>Return on Assets</t>
  </si>
  <si>
    <t>EFFICIENCY RATIOS</t>
  </si>
  <si>
    <t>Inventory Turnover</t>
  </si>
  <si>
    <t>Cost of Goods Sold</t>
  </si>
  <si>
    <t>Inventory</t>
  </si>
  <si>
    <t>Inventory Days</t>
  </si>
  <si>
    <t>Accounts Receivable Days</t>
  </si>
  <si>
    <t>Accounts Receivable x 365</t>
  </si>
  <si>
    <t>Accounts Payable Days</t>
  </si>
  <si>
    <t>Accounts Payable x 365</t>
  </si>
  <si>
    <t>Cost of Sales</t>
  </si>
  <si>
    <t>INVESTMENT RATIOS</t>
  </si>
  <si>
    <t>Earnings Per Share</t>
  </si>
  <si>
    <t>Profit After Tax</t>
  </si>
  <si>
    <t>Number Shares in Issue</t>
  </si>
  <si>
    <t>Dividend Per Share</t>
  </si>
  <si>
    <t>Total Dividend Paid</t>
  </si>
  <si>
    <t>Price / Earnings Ratio</t>
  </si>
  <si>
    <t>Return on Equity</t>
  </si>
  <si>
    <t>Liquidity &amp; Solvency</t>
  </si>
  <si>
    <t>Quick (Acid test)</t>
  </si>
  <si>
    <t>Efficiency Ratios</t>
  </si>
  <si>
    <t>Investment Ratios</t>
  </si>
  <si>
    <t>Earnings per Share</t>
  </si>
  <si>
    <t>Dividend per share</t>
  </si>
  <si>
    <t>Ratios</t>
  </si>
  <si>
    <t>Ratio</t>
  </si>
  <si>
    <t>Percentage</t>
  </si>
  <si>
    <t>Times</t>
  </si>
  <si>
    <t>Days</t>
  </si>
  <si>
    <t>Pounds</t>
  </si>
  <si>
    <t>Type</t>
  </si>
  <si>
    <t>Trend</t>
  </si>
  <si>
    <t>Profitability Ratios</t>
  </si>
  <si>
    <t xml:space="preserve">  2019           2020        2021          2022</t>
  </si>
  <si>
    <t>Revenue</t>
  </si>
  <si>
    <t>Operating Profit</t>
  </si>
  <si>
    <t>Interest</t>
  </si>
  <si>
    <t>PBT</t>
  </si>
  <si>
    <t>PAT</t>
  </si>
  <si>
    <t>Profit available to equity shareholders</t>
  </si>
  <si>
    <t>Basic EPS</t>
  </si>
  <si>
    <t>Diluted EPS</t>
  </si>
  <si>
    <t>Total Non-Current Assets</t>
  </si>
  <si>
    <t>Trade Receivables</t>
  </si>
  <si>
    <t>Cash Equivalents</t>
  </si>
  <si>
    <t>Total Current Assets</t>
  </si>
  <si>
    <t>Equity Capital</t>
  </si>
  <si>
    <t>Retained Earnings</t>
  </si>
  <si>
    <t>Total Equity</t>
  </si>
  <si>
    <t>Trade Payables</t>
  </si>
  <si>
    <t>Total non-current liabilities</t>
  </si>
  <si>
    <t>Total Liabilites</t>
  </si>
  <si>
    <t>Shares Outstanding</t>
  </si>
  <si>
    <t>GSK PLC (All Figures in EURO Millions)</t>
  </si>
  <si>
    <t>115.5p</t>
  </si>
  <si>
    <t>93.9p</t>
  </si>
  <si>
    <t>114.1p</t>
  </si>
  <si>
    <t>92.6p</t>
  </si>
  <si>
    <t>110.8p</t>
  </si>
  <si>
    <t>829p</t>
  </si>
  <si>
    <t>109.2p</t>
  </si>
  <si>
    <t>818p</t>
  </si>
  <si>
    <t>Long term Debt</t>
  </si>
  <si>
    <t>Account Payable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</si>
</sst>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&quot;€&quot;#,##0"/>
    <numFmt numFmtId="165" formatCode="0.00&quot; : 1&quot;"/>
    <numFmt numFmtId="166" formatCode="0.000"/>
    <numFmt numFmtId="167" formatCode="&quot;€&quot;#,##0.00"/>
    <numFmt numFmtId="168" formatCode="0.00&quot; times&quot;"/>
    <numFmt numFmtId="169" formatCode="0.0\ &quot;days&quot;"/>
    <numFmt numFmtId="170" formatCode="0.00&quot; days&quot;"/>
    <numFmt numFmtId="171" formatCode="_(&quot;$&quot;* #,##0.00_);_(&quot;$&quot;* \(#,##0.00\);_(&quot;$&quot;* &quot;-&quot;??_);_(@_)"/>
    <numFmt numFmtId="172" formatCode="_ [$€-2]\ * #,##0.00_ ;_ [$€-2]\ * \-#,##0.00_ ;_ [$€-2]\ * &quot;-&quot;??_ ;_ @_ "/>
    <numFmt numFmtId="173" formatCode="_-[$€-2]\ * #,##0.00_-;\-[$€-2]\ * #,##0.00_-;_-[$€-2]\ * &quot;-&quot;??_-;_-@_-"/>
    <numFmt numFmtId="174" formatCode="_-* #,##0_-;\-* #,##0_-;_-* &quot;-&quot;??_-;_-@_-"/>
    <numFmt numFmtId="175" formatCode="_-[$£-809]* #,##0_-;\-[$£-809]* #,##0_-;_-[$£-809]* &quot;-&quot;??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0"/>
      <name val="Arial"/>
    </font>
    <font>
      <b/>
      <sz val="11"/>
      <color theme="1"/>
      <name val="Arial Narrow"/>
      <family val="2"/>
    </font>
    <font>
      <sz val="10"/>
      <color rgb="FF000000"/>
      <name val="Arial"/>
      <family val="2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43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48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164" fontId="0" fillId="2" borderId="1" xfId="2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164" fontId="0" fillId="3" borderId="1" xfId="2" applyNumberFormat="1" applyFont="1" applyFill="1" applyBorder="1" applyAlignment="1">
      <alignment horizontal="center"/>
    </xf>
    <xf numFmtId="2" fontId="4" fillId="3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2" borderId="1" xfId="2" applyNumberFormat="1" applyFont="1" applyFill="1" applyBorder="1" applyAlignment="1">
      <alignment horizontal="center" vertical="top"/>
    </xf>
    <xf numFmtId="164" fontId="0" fillId="3" borderId="1" xfId="2" applyNumberFormat="1" applyFont="1" applyFill="1" applyBorder="1" applyAlignment="1">
      <alignment horizontal="center" vertical="top"/>
    </xf>
    <xf numFmtId="167" fontId="0" fillId="2" borderId="1" xfId="2" applyNumberFormat="1" applyFont="1" applyFill="1" applyBorder="1" applyAlignment="1">
      <alignment horizontal="center" vertical="top"/>
    </xf>
    <xf numFmtId="167" fontId="0" fillId="3" borderId="1" xfId="2" applyNumberFormat="1" applyFont="1" applyFill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2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3" fillId="2" borderId="5" xfId="0" applyFont="1" applyFill="1" applyBorder="1"/>
    <xf numFmtId="0" fontId="0" fillId="2" borderId="6" xfId="0" applyFill="1" applyBorder="1"/>
    <xf numFmtId="0" fontId="5" fillId="2" borderId="5" xfId="0" applyFont="1" applyFill="1" applyBorder="1"/>
    <xf numFmtId="0" fontId="6" fillId="2" borderId="5" xfId="0" applyFont="1" applyFill="1" applyBorder="1"/>
    <xf numFmtId="2" fontId="4" fillId="2" borderId="6" xfId="0" applyNumberFormat="1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7" xfId="0" applyFill="1" applyBorder="1"/>
    <xf numFmtId="164" fontId="8" fillId="2" borderId="1" xfId="0" applyNumberFormat="1" applyFont="1" applyFill="1" applyBorder="1"/>
    <xf numFmtId="0" fontId="0" fillId="2" borderId="8" xfId="0" applyFill="1" applyBorder="1"/>
    <xf numFmtId="0" fontId="0" fillId="3" borderId="3" xfId="0" applyFill="1" applyBorder="1"/>
    <xf numFmtId="0" fontId="0" fillId="3" borderId="4" xfId="0" applyFill="1" applyBorder="1"/>
    <xf numFmtId="0" fontId="3" fillId="3" borderId="5" xfId="0" applyFont="1" applyFill="1" applyBorder="1"/>
    <xf numFmtId="0" fontId="0" fillId="3" borderId="0" xfId="0" applyFill="1"/>
    <xf numFmtId="0" fontId="0" fillId="3" borderId="6" xfId="0" applyFill="1" applyBorder="1"/>
    <xf numFmtId="0" fontId="6" fillId="3" borderId="5" xfId="0" applyFont="1" applyFill="1" applyBorder="1"/>
    <xf numFmtId="0" fontId="0" fillId="3" borderId="0" xfId="0" applyFill="1" applyAlignment="1">
      <alignment horizontal="center"/>
    </xf>
    <xf numFmtId="164" fontId="0" fillId="3" borderId="0" xfId="2" applyNumberFormat="1" applyFont="1" applyFill="1" applyBorder="1" applyAlignment="1">
      <alignment horizontal="center"/>
    </xf>
    <xf numFmtId="2" fontId="4" fillId="3" borderId="6" xfId="0" applyNumberFormat="1" applyFon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/>
    </xf>
    <xf numFmtId="0" fontId="0" fillId="3" borderId="5" xfId="0" applyFill="1" applyBorder="1"/>
    <xf numFmtId="0" fontId="0" fillId="3" borderId="7" xfId="0" applyFill="1" applyBorder="1"/>
    <xf numFmtId="164" fontId="8" fillId="3" borderId="1" xfId="0" applyNumberFormat="1" applyFont="1" applyFill="1" applyBorder="1"/>
    <xf numFmtId="0" fontId="0" fillId="3" borderId="8" xfId="0" applyFill="1" applyBorder="1"/>
    <xf numFmtId="1" fontId="0" fillId="2" borderId="1" xfId="1" applyNumberFormat="1" applyFont="1" applyFill="1" applyBorder="1" applyAlignment="1">
      <alignment horizontal="center" vertical="top"/>
    </xf>
    <xf numFmtId="1" fontId="0" fillId="3" borderId="1" xfId="1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164" fontId="0" fillId="2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164" fontId="0" fillId="3" borderId="1" xfId="0" applyNumberFormat="1" applyFill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 applyAlignment="1">
      <alignment horizontal="center" vertical="top"/>
    </xf>
    <xf numFmtId="164" fontId="0" fillId="2" borderId="0" xfId="0" applyNumberFormat="1" applyFill="1"/>
    <xf numFmtId="164" fontId="0" fillId="2" borderId="0" xfId="2" applyNumberFormat="1" applyFont="1" applyFill="1" applyBorder="1"/>
    <xf numFmtId="166" fontId="4" fillId="2" borderId="6" xfId="0" applyNumberFormat="1" applyFont="1" applyFill="1" applyBorder="1" applyAlignment="1">
      <alignment horizontal="center" vertical="center"/>
    </xf>
    <xf numFmtId="164" fontId="0" fillId="2" borderId="0" xfId="2" applyNumberFormat="1" applyFont="1" applyFill="1" applyBorder="1" applyAlignment="1">
      <alignment horizontal="center" vertical="top"/>
    </xf>
    <xf numFmtId="167" fontId="0" fillId="2" borderId="0" xfId="2" applyNumberFormat="1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top"/>
    </xf>
    <xf numFmtId="0" fontId="4" fillId="2" borderId="8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 applyAlignment="1">
      <alignment horizontal="center" vertical="top"/>
    </xf>
    <xf numFmtId="164" fontId="0" fillId="3" borderId="0" xfId="0" applyNumberFormat="1" applyFill="1"/>
    <xf numFmtId="164" fontId="0" fillId="3" borderId="0" xfId="2" applyNumberFormat="1" applyFont="1" applyFill="1" applyBorder="1"/>
    <xf numFmtId="166" fontId="4" fillId="3" borderId="6" xfId="0" applyNumberFormat="1" applyFont="1" applyFill="1" applyBorder="1" applyAlignment="1">
      <alignment horizontal="center" vertical="center"/>
    </xf>
    <xf numFmtId="164" fontId="0" fillId="3" borderId="0" xfId="2" applyNumberFormat="1" applyFont="1" applyFill="1" applyBorder="1" applyAlignment="1">
      <alignment horizontal="center" vertical="top"/>
    </xf>
    <xf numFmtId="167" fontId="0" fillId="3" borderId="0" xfId="2" applyNumberFormat="1" applyFont="1" applyFill="1" applyBorder="1" applyAlignment="1">
      <alignment horizontal="center" vertical="top"/>
    </xf>
    <xf numFmtId="0" fontId="4" fillId="3" borderId="6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top"/>
    </xf>
    <xf numFmtId="0" fontId="4" fillId="3" borderId="8" xfId="0" applyFont="1" applyFill="1" applyBorder="1" applyAlignment="1">
      <alignment horizontal="center" vertical="center"/>
    </xf>
    <xf numFmtId="2" fontId="0" fillId="2" borderId="0" xfId="2" applyNumberFormat="1" applyFont="1" applyFill="1" applyBorder="1" applyAlignment="1">
      <alignment horizontal="center" vertical="top"/>
    </xf>
    <xf numFmtId="166" fontId="0" fillId="2" borderId="6" xfId="0" applyNumberFormat="1" applyFill="1" applyBorder="1"/>
    <xf numFmtId="2" fontId="0" fillId="3" borderId="0" xfId="2" applyNumberFormat="1" applyFont="1" applyFill="1" applyBorder="1" applyAlignment="1">
      <alignment horizontal="center" vertical="top"/>
    </xf>
    <xf numFmtId="166" fontId="0" fillId="3" borderId="6" xfId="0" applyNumberFormat="1" applyFill="1" applyBorder="1"/>
    <xf numFmtId="0" fontId="0" fillId="3" borderId="3" xfId="0" applyFill="1" applyBorder="1" applyAlignment="1">
      <alignment horizontal="center"/>
    </xf>
    <xf numFmtId="167" fontId="0" fillId="3" borderId="3" xfId="2" applyNumberFormat="1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167" fontId="0" fillId="2" borderId="3" xfId="2" applyNumberFormat="1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0" fillId="0" borderId="0" xfId="0" applyFont="1"/>
    <xf numFmtId="0" fontId="0" fillId="0" borderId="14" xfId="0" applyBorder="1"/>
    <xf numFmtId="0" fontId="9" fillId="0" borderId="16" xfId="0" applyFont="1" applyBorder="1"/>
    <xf numFmtId="0" fontId="9" fillId="0" borderId="17" xfId="0" applyFont="1" applyBorder="1"/>
    <xf numFmtId="0" fontId="0" fillId="0" borderId="21" xfId="0" applyBorder="1"/>
    <xf numFmtId="0" fontId="0" fillId="0" borderId="19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1" fontId="0" fillId="0" borderId="14" xfId="0" applyNumberForma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1" fillId="0" borderId="26" xfId="0" applyFont="1" applyBorder="1"/>
    <xf numFmtId="0" fontId="9" fillId="0" borderId="14" xfId="0" applyFont="1" applyBorder="1"/>
    <xf numFmtId="0" fontId="9" fillId="0" borderId="23" xfId="0" applyFont="1" applyBorder="1"/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12" fillId="0" borderId="25" xfId="0" applyFont="1" applyBorder="1" applyAlignment="1">
      <alignment horizontal="center" vertical="center"/>
    </xf>
    <xf numFmtId="0" fontId="14" fillId="0" borderId="14" xfId="0" applyFont="1" applyBorder="1" applyAlignment="1">
      <alignment horizontal="left" vertical="center"/>
    </xf>
    <xf numFmtId="1" fontId="1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172" fontId="0" fillId="0" borderId="14" xfId="0" applyNumberFormat="1" applyBorder="1" applyAlignment="1">
      <alignment horizontal="right" vertical="center"/>
    </xf>
    <xf numFmtId="10" fontId="0" fillId="0" borderId="0" xfId="3" applyNumberFormat="1" applyFont="1"/>
    <xf numFmtId="172" fontId="0" fillId="0" borderId="0" xfId="0" applyNumberFormat="1"/>
    <xf numFmtId="173" fontId="0" fillId="0" borderId="0" xfId="0" applyNumberFormat="1"/>
    <xf numFmtId="174" fontId="0" fillId="0" borderId="14" xfId="1" applyNumberFormat="1" applyFont="1" applyBorder="1" applyAlignment="1">
      <alignment horizontal="right" vertical="center"/>
    </xf>
    <xf numFmtId="174" fontId="0" fillId="0" borderId="14" xfId="1" applyNumberFormat="1" applyFont="1" applyBorder="1" applyAlignment="1">
      <alignment vertical="center"/>
    </xf>
    <xf numFmtId="175" fontId="0" fillId="0" borderId="14" xfId="2" applyNumberFormat="1" applyFont="1" applyBorder="1" applyAlignment="1">
      <alignment horizontal="right" vertical="center"/>
    </xf>
    <xf numFmtId="175" fontId="0" fillId="0" borderId="14" xfId="2" applyNumberFormat="1" applyFont="1" applyBorder="1" applyAlignment="1">
      <alignment vertical="center"/>
    </xf>
    <xf numFmtId="175" fontId="0" fillId="0" borderId="0" xfId="2" applyNumberFormat="1" applyFont="1"/>
    <xf numFmtId="175" fontId="15" fillId="0" borderId="14" xfId="2" applyNumberFormat="1" applyFont="1" applyBorder="1" applyAlignment="1">
      <alignment horizontal="right" vertical="top"/>
    </xf>
    <xf numFmtId="175" fontId="15" fillId="0" borderId="14" xfId="2" applyNumberFormat="1" applyFont="1" applyBorder="1" applyAlignment="1">
      <alignment vertical="top"/>
    </xf>
    <xf numFmtId="175" fontId="15" fillId="0" borderId="14" xfId="2" applyNumberFormat="1" applyFont="1" applyBorder="1" applyAlignment="1">
      <alignment horizontal="right" vertical="center" wrapText="1"/>
    </xf>
    <xf numFmtId="165" fontId="4" fillId="2" borderId="6" xfId="0" applyNumberFormat="1" applyFont="1" applyFill="1" applyBorder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165" fontId="4" fillId="3" borderId="6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9" fontId="4" fillId="2" borderId="6" xfId="3" applyFont="1" applyFill="1" applyBorder="1" applyAlignment="1">
      <alignment horizontal="center" vertical="center"/>
    </xf>
    <xf numFmtId="9" fontId="4" fillId="3" borderId="0" xfId="3" applyFont="1" applyFill="1" applyBorder="1" applyAlignment="1">
      <alignment horizontal="center" vertical="center"/>
    </xf>
    <xf numFmtId="9" fontId="4" fillId="3" borderId="6" xfId="3" applyFont="1" applyFill="1" applyBorder="1" applyAlignment="1">
      <alignment horizontal="center" vertical="center"/>
    </xf>
    <xf numFmtId="10" fontId="4" fillId="2" borderId="6" xfId="3" applyNumberFormat="1" applyFont="1" applyFill="1" applyBorder="1" applyAlignment="1">
      <alignment horizontal="center" vertical="center"/>
    </xf>
    <xf numFmtId="10" fontId="4" fillId="3" borderId="6" xfId="3" applyNumberFormat="1" applyFont="1" applyFill="1" applyBorder="1" applyAlignment="1">
      <alignment horizontal="center" vertical="center"/>
    </xf>
    <xf numFmtId="168" fontId="4" fillId="2" borderId="6" xfId="0" applyNumberFormat="1" applyFont="1" applyFill="1" applyBorder="1" applyAlignment="1">
      <alignment horizontal="center" vertical="center"/>
    </xf>
    <xf numFmtId="168" fontId="4" fillId="3" borderId="6" xfId="0" applyNumberFormat="1" applyFont="1" applyFill="1" applyBorder="1" applyAlignment="1">
      <alignment horizontal="center" vertical="center"/>
    </xf>
    <xf numFmtId="169" fontId="4" fillId="2" borderId="6" xfId="0" applyNumberFormat="1" applyFont="1" applyFill="1" applyBorder="1" applyAlignment="1">
      <alignment horizontal="center" vertical="center"/>
    </xf>
    <xf numFmtId="169" fontId="4" fillId="3" borderId="6" xfId="0" applyNumberFormat="1" applyFont="1" applyFill="1" applyBorder="1" applyAlignment="1">
      <alignment horizontal="center" vertical="center"/>
    </xf>
    <xf numFmtId="170" fontId="4" fillId="2" borderId="6" xfId="0" applyNumberFormat="1" applyFont="1" applyFill="1" applyBorder="1" applyAlignment="1">
      <alignment horizontal="center" vertical="center"/>
    </xf>
    <xf numFmtId="170" fontId="4" fillId="3" borderId="6" xfId="0" applyNumberFormat="1" applyFont="1" applyFill="1" applyBorder="1" applyAlignment="1">
      <alignment horizontal="center" vertical="center"/>
    </xf>
    <xf numFmtId="167" fontId="4" fillId="2" borderId="6" xfId="0" applyNumberFormat="1" applyFont="1" applyFill="1" applyBorder="1" applyAlignment="1">
      <alignment horizontal="center" vertical="center"/>
    </xf>
    <xf numFmtId="167" fontId="4" fillId="3" borderId="6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14" fillId="4" borderId="14" xfId="0" applyFont="1" applyFill="1" applyBorder="1" applyAlignment="1">
      <alignment horizontal="center" vertical="center" wrapText="1"/>
    </xf>
    <xf numFmtId="9" fontId="0" fillId="0" borderId="0" xfId="3" applyFont="1"/>
    <xf numFmtId="0" fontId="16" fillId="0" borderId="0" xfId="0" applyFont="1"/>
  </cellXfs>
  <cellStyles count="8">
    <cellStyle name="Comma" xfId="1" builtinId="3"/>
    <cellStyle name="Comma 2" xfId="5" xr:uid="{924AA3D8-480E-4589-B324-183487F23B0C}"/>
    <cellStyle name="Currency" xfId="2" builtinId="4"/>
    <cellStyle name="Currency 2" xfId="6" xr:uid="{7649406A-9733-4D8D-805C-5AE13C1CC79B}"/>
    <cellStyle name="Normal" xfId="0" builtinId="0"/>
    <cellStyle name="Normal 2" xfId="4" xr:uid="{5A6386E2-D16B-4383-9E68-204D35B379FB}"/>
    <cellStyle name="Per cent" xfId="3" builtinId="5"/>
    <cellStyle name="Per cent 2" xfId="7" xr:uid="{E89E386D-CDBF-4FBE-BC9E-A9A6D7503D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F6696-FA52-4C36-813F-3D0DFF9FB4A5}">
  <dimension ref="A1:T65"/>
  <sheetViews>
    <sheetView zoomScale="90" workbookViewId="0">
      <selection activeCell="I44" sqref="I44"/>
    </sheetView>
  </sheetViews>
  <sheetFormatPr defaultRowHeight="14.4" x14ac:dyDescent="0.3"/>
  <cols>
    <col min="4" max="4" width="11" bestFit="1" customWidth="1"/>
    <col min="5" max="5" width="11.21875" bestFit="1" customWidth="1"/>
    <col min="9" max="9" width="10.33203125" bestFit="1" customWidth="1"/>
    <col min="10" max="10" width="11.33203125" bestFit="1" customWidth="1"/>
    <col min="14" max="14" width="10.77734375" bestFit="1" customWidth="1"/>
    <col min="15" max="15" width="11.33203125" bestFit="1" customWidth="1"/>
    <col min="19" max="19" width="10.77734375" bestFit="1" customWidth="1"/>
    <col min="20" max="20" width="11.5546875" bestFit="1" customWidth="1"/>
  </cols>
  <sheetData>
    <row r="1" spans="1:20" ht="23.4" thickBot="1" x14ac:dyDescent="0.45">
      <c r="A1" s="123">
        <v>2022</v>
      </c>
      <c r="B1" s="124"/>
      <c r="C1" s="124"/>
      <c r="D1" s="124"/>
      <c r="E1" s="124"/>
      <c r="F1" s="125">
        <v>2021</v>
      </c>
      <c r="G1" s="125"/>
      <c r="H1" s="125"/>
      <c r="I1" s="125"/>
      <c r="J1" s="125"/>
      <c r="K1" s="124">
        <v>2020</v>
      </c>
      <c r="L1" s="124"/>
      <c r="M1" s="124"/>
      <c r="N1" s="124"/>
      <c r="O1" s="124"/>
      <c r="P1" s="125">
        <v>2019</v>
      </c>
      <c r="Q1" s="125"/>
      <c r="R1" s="125"/>
      <c r="S1" s="125"/>
      <c r="T1" s="126"/>
    </row>
    <row r="2" spans="1:20" ht="12.6" customHeight="1" x14ac:dyDescent="0.4">
      <c r="A2" s="86"/>
      <c r="B2" s="1"/>
      <c r="C2" s="1"/>
      <c r="D2" s="1"/>
      <c r="E2" s="82"/>
      <c r="F2" s="83"/>
      <c r="G2" s="2"/>
      <c r="H2" s="2"/>
      <c r="I2" s="2"/>
      <c r="J2" s="2"/>
      <c r="K2" s="84"/>
      <c r="L2" s="1"/>
      <c r="M2" s="1"/>
      <c r="N2" s="1"/>
      <c r="O2" s="82"/>
      <c r="P2" s="83"/>
      <c r="Q2" s="2"/>
      <c r="R2" s="2"/>
      <c r="S2" s="2"/>
      <c r="T2" s="85"/>
    </row>
    <row r="3" spans="1:20" x14ac:dyDescent="0.3">
      <c r="A3" s="23" t="s">
        <v>0</v>
      </c>
      <c r="B3" s="17"/>
      <c r="C3" s="17"/>
      <c r="D3" s="17"/>
      <c r="E3" s="24"/>
      <c r="F3" s="34" t="s">
        <v>0</v>
      </c>
      <c r="G3" s="35"/>
      <c r="H3" s="35"/>
      <c r="I3" s="35"/>
      <c r="J3" s="35"/>
      <c r="K3" s="23" t="s">
        <v>0</v>
      </c>
      <c r="L3" s="17"/>
      <c r="M3" s="17"/>
      <c r="N3" s="17"/>
      <c r="O3" s="24"/>
      <c r="P3" s="34" t="s">
        <v>0</v>
      </c>
      <c r="Q3" s="35"/>
      <c r="R3" s="35"/>
      <c r="S3" s="35"/>
      <c r="T3" s="36"/>
    </row>
    <row r="4" spans="1:20" x14ac:dyDescent="0.3">
      <c r="A4" s="23"/>
      <c r="B4" s="17"/>
      <c r="C4" s="17"/>
      <c r="D4" s="17"/>
      <c r="E4" s="24"/>
      <c r="F4" s="34"/>
      <c r="G4" s="35"/>
      <c r="H4" s="35"/>
      <c r="I4" s="35"/>
      <c r="J4" s="35"/>
      <c r="K4" s="23"/>
      <c r="L4" s="17"/>
      <c r="M4" s="17"/>
      <c r="N4" s="17"/>
      <c r="O4" s="24"/>
      <c r="P4" s="34"/>
      <c r="Q4" s="35"/>
      <c r="R4" s="35"/>
      <c r="S4" s="35"/>
      <c r="T4" s="36"/>
    </row>
    <row r="5" spans="1:20" x14ac:dyDescent="0.3">
      <c r="A5" s="26" t="s">
        <v>1</v>
      </c>
      <c r="B5" s="17"/>
      <c r="C5" s="17"/>
      <c r="D5" s="17"/>
      <c r="E5" s="24"/>
      <c r="F5" s="37" t="s">
        <v>1</v>
      </c>
      <c r="G5" s="35"/>
      <c r="H5" s="35"/>
      <c r="I5" s="35"/>
      <c r="J5" s="35"/>
      <c r="K5" s="26" t="s">
        <v>1</v>
      </c>
      <c r="L5" s="17"/>
      <c r="M5" s="17"/>
      <c r="N5" s="17"/>
      <c r="O5" s="24"/>
      <c r="P5" s="37" t="s">
        <v>1</v>
      </c>
      <c r="Q5" s="35"/>
      <c r="R5" s="35"/>
      <c r="S5" s="35"/>
      <c r="T5" s="36"/>
    </row>
    <row r="6" spans="1:20" x14ac:dyDescent="0.3">
      <c r="A6" s="26"/>
      <c r="B6" s="18" t="s">
        <v>2</v>
      </c>
      <c r="C6" s="4"/>
      <c r="D6" s="19">
        <v>20769</v>
      </c>
      <c r="E6" s="120">
        <v>0.91052170100832963</v>
      </c>
      <c r="F6" s="37"/>
      <c r="G6" s="6" t="s">
        <v>2</v>
      </c>
      <c r="H6" s="7"/>
      <c r="I6" s="8">
        <v>18674</v>
      </c>
      <c r="J6" s="121">
        <v>0.78893113645965351</v>
      </c>
      <c r="K6" s="26"/>
      <c r="L6" s="18" t="s">
        <v>2</v>
      </c>
      <c r="M6" s="4"/>
      <c r="N6" s="19">
        <v>20247</v>
      </c>
      <c r="O6" s="120">
        <v>0.91416832219613509</v>
      </c>
      <c r="P6" s="37"/>
      <c r="Q6" s="6" t="s">
        <v>2</v>
      </c>
      <c r="R6" s="7"/>
      <c r="S6" s="8">
        <v>19491</v>
      </c>
      <c r="T6" s="122">
        <v>0.81043659043659044</v>
      </c>
    </row>
    <row r="7" spans="1:20" x14ac:dyDescent="0.3">
      <c r="A7" s="26"/>
      <c r="B7" s="18" t="s">
        <v>3</v>
      </c>
      <c r="C7" s="18"/>
      <c r="D7" s="19">
        <v>22810</v>
      </c>
      <c r="E7" s="120"/>
      <c r="F7" s="37"/>
      <c r="G7" s="38" t="s">
        <v>3</v>
      </c>
      <c r="H7" s="38"/>
      <c r="I7" s="39">
        <v>23670</v>
      </c>
      <c r="J7" s="121"/>
      <c r="K7" s="26"/>
      <c r="L7" s="18" t="s">
        <v>3</v>
      </c>
      <c r="M7" s="18"/>
      <c r="N7" s="19">
        <v>22148</v>
      </c>
      <c r="O7" s="120"/>
      <c r="P7" s="37"/>
      <c r="Q7" s="38" t="s">
        <v>3</v>
      </c>
      <c r="R7" s="38"/>
      <c r="S7" s="39">
        <v>24050</v>
      </c>
      <c r="T7" s="122"/>
    </row>
    <row r="8" spans="1:20" x14ac:dyDescent="0.3">
      <c r="A8" s="26"/>
      <c r="B8" s="18"/>
      <c r="C8" s="18"/>
      <c r="D8" s="19"/>
      <c r="E8" s="27"/>
      <c r="F8" s="37"/>
      <c r="G8" s="38"/>
      <c r="H8" s="38"/>
      <c r="I8" s="39"/>
      <c r="J8" s="9"/>
      <c r="K8" s="26"/>
      <c r="L8" s="18"/>
      <c r="M8" s="18"/>
      <c r="N8" s="19"/>
      <c r="O8" s="27"/>
      <c r="P8" s="37"/>
      <c r="Q8" s="38"/>
      <c r="R8" s="38"/>
      <c r="S8" s="39"/>
      <c r="T8" s="40"/>
    </row>
    <row r="9" spans="1:20" x14ac:dyDescent="0.3">
      <c r="A9" s="26" t="s">
        <v>4</v>
      </c>
      <c r="B9" s="17"/>
      <c r="C9" s="17"/>
      <c r="D9" s="20"/>
      <c r="E9" s="24"/>
      <c r="F9" s="37" t="s">
        <v>4</v>
      </c>
      <c r="G9" s="35"/>
      <c r="H9" s="35"/>
      <c r="I9" s="41"/>
      <c r="J9" s="35"/>
      <c r="K9" s="26" t="s">
        <v>4</v>
      </c>
      <c r="L9" s="17"/>
      <c r="M9" s="17"/>
      <c r="N9" s="20"/>
      <c r="O9" s="24"/>
      <c r="P9" s="37" t="s">
        <v>4</v>
      </c>
      <c r="Q9" s="35"/>
      <c r="R9" s="35"/>
      <c r="S9" s="41"/>
      <c r="T9" s="36"/>
    </row>
    <row r="10" spans="1:20" x14ac:dyDescent="0.3">
      <c r="A10" s="26"/>
      <c r="B10" s="18" t="s">
        <v>5</v>
      </c>
      <c r="C10" s="18"/>
      <c r="D10" s="19">
        <v>15623</v>
      </c>
      <c r="E10" s="120">
        <v>0.68491889522139415</v>
      </c>
      <c r="F10" s="37"/>
      <c r="G10" s="10" t="s">
        <v>5</v>
      </c>
      <c r="H10" s="38"/>
      <c r="I10" s="8">
        <v>12891</v>
      </c>
      <c r="J10" s="121">
        <v>0.54461343472750312</v>
      </c>
      <c r="K10" s="26"/>
      <c r="L10" s="18" t="s">
        <v>5</v>
      </c>
      <c r="M10" s="18"/>
      <c r="N10" s="19">
        <v>14251</v>
      </c>
      <c r="O10" s="120">
        <v>0.64344410330503887</v>
      </c>
      <c r="P10" s="37"/>
      <c r="Q10" s="10" t="s">
        <v>5</v>
      </c>
      <c r="R10" s="38"/>
      <c r="S10" s="8">
        <v>13544</v>
      </c>
      <c r="T10" s="122">
        <v>0.56316008316008315</v>
      </c>
    </row>
    <row r="11" spans="1:20" x14ac:dyDescent="0.3">
      <c r="A11" s="26"/>
      <c r="B11" s="18" t="s">
        <v>3</v>
      </c>
      <c r="C11" s="18"/>
      <c r="D11" s="19">
        <v>22810</v>
      </c>
      <c r="E11" s="120"/>
      <c r="F11" s="37"/>
      <c r="G11" s="38" t="s">
        <v>3</v>
      </c>
      <c r="H11" s="38"/>
      <c r="I11" s="39">
        <v>23670</v>
      </c>
      <c r="J11" s="121"/>
      <c r="K11" s="26"/>
      <c r="L11" s="18" t="s">
        <v>3</v>
      </c>
      <c r="M11" s="18"/>
      <c r="N11" s="19">
        <v>22148</v>
      </c>
      <c r="O11" s="120"/>
      <c r="P11" s="37"/>
      <c r="Q11" s="38" t="s">
        <v>3</v>
      </c>
      <c r="R11" s="38"/>
      <c r="S11" s="39">
        <v>24050</v>
      </c>
      <c r="T11" s="122"/>
    </row>
    <row r="12" spans="1:20" x14ac:dyDescent="0.3">
      <c r="A12" s="26"/>
      <c r="B12" s="18"/>
      <c r="C12" s="18"/>
      <c r="D12" s="19"/>
      <c r="E12" s="27"/>
      <c r="F12" s="37"/>
      <c r="G12" s="38"/>
      <c r="H12" s="38"/>
      <c r="I12" s="39"/>
      <c r="J12" s="9"/>
      <c r="K12" s="26"/>
      <c r="L12" s="18"/>
      <c r="M12" s="18"/>
      <c r="N12" s="19"/>
      <c r="O12" s="27"/>
      <c r="P12" s="37"/>
      <c r="Q12" s="38"/>
      <c r="R12" s="38"/>
      <c r="S12" s="39"/>
      <c r="T12" s="40"/>
    </row>
    <row r="13" spans="1:20" x14ac:dyDescent="0.3">
      <c r="A13" s="26" t="s">
        <v>6</v>
      </c>
      <c r="B13" s="17"/>
      <c r="C13" s="17"/>
      <c r="D13" s="18"/>
      <c r="E13" s="24"/>
      <c r="F13" s="37" t="s">
        <v>6</v>
      </c>
      <c r="G13" s="35"/>
      <c r="H13" s="35"/>
      <c r="I13" s="38"/>
      <c r="J13" s="35"/>
      <c r="K13" s="26" t="s">
        <v>6</v>
      </c>
      <c r="L13" s="17"/>
      <c r="M13" s="17"/>
      <c r="N13" s="18"/>
      <c r="O13" s="24"/>
      <c r="P13" s="37" t="s">
        <v>6</v>
      </c>
      <c r="Q13" s="35"/>
      <c r="R13" s="35"/>
      <c r="S13" s="38"/>
      <c r="T13" s="36"/>
    </row>
    <row r="14" spans="1:20" x14ac:dyDescent="0.3">
      <c r="A14" s="28"/>
      <c r="B14" s="18" t="s">
        <v>7</v>
      </c>
      <c r="C14" s="18"/>
      <c r="D14" s="19">
        <v>17035</v>
      </c>
      <c r="E14" s="127">
        <v>0.61647305757608661</v>
      </c>
      <c r="F14" s="42"/>
      <c r="G14" s="10" t="s">
        <v>8</v>
      </c>
      <c r="H14" s="38"/>
      <c r="I14" s="8">
        <v>20572</v>
      </c>
      <c r="J14" s="128">
        <v>0.57742723215538772</v>
      </c>
      <c r="K14" s="28"/>
      <c r="L14" s="18" t="s">
        <v>9</v>
      </c>
      <c r="M14" s="18"/>
      <c r="N14" s="19">
        <v>23425</v>
      </c>
      <c r="O14" s="127">
        <v>0.616252762285594</v>
      </c>
      <c r="P14" s="42"/>
      <c r="Q14" s="10" t="s">
        <v>9</v>
      </c>
      <c r="R14" s="38"/>
      <c r="S14" s="8">
        <v>23590</v>
      </c>
      <c r="T14" s="129">
        <v>0.67409629947135308</v>
      </c>
    </row>
    <row r="15" spans="1:20" x14ac:dyDescent="0.3">
      <c r="A15" s="28"/>
      <c r="B15" s="18" t="s">
        <v>10</v>
      </c>
      <c r="C15" s="18"/>
      <c r="D15" s="19">
        <v>27633</v>
      </c>
      <c r="E15" s="127"/>
      <c r="F15" s="42"/>
      <c r="G15" s="38" t="s">
        <v>10</v>
      </c>
      <c r="H15" s="38"/>
      <c r="I15" s="39">
        <v>35627</v>
      </c>
      <c r="J15" s="128"/>
      <c r="K15" s="28"/>
      <c r="L15" s="18" t="s">
        <v>11</v>
      </c>
      <c r="M15" s="18"/>
      <c r="N15" s="19">
        <v>38012</v>
      </c>
      <c r="O15" s="127"/>
      <c r="P15" s="42"/>
      <c r="Q15" s="38" t="s">
        <v>11</v>
      </c>
      <c r="R15" s="38"/>
      <c r="S15" s="39">
        <v>34995</v>
      </c>
      <c r="T15" s="129"/>
    </row>
    <row r="16" spans="1:20" x14ac:dyDescent="0.3">
      <c r="A16" s="29"/>
      <c r="B16" s="15"/>
      <c r="C16" s="15"/>
      <c r="D16" s="30"/>
      <c r="E16" s="31"/>
      <c r="F16" s="43"/>
      <c r="G16" s="16"/>
      <c r="H16" s="16"/>
      <c r="I16" s="44"/>
      <c r="J16" s="16"/>
      <c r="K16" s="29"/>
      <c r="L16" s="15"/>
      <c r="M16" s="15"/>
      <c r="N16" s="30"/>
      <c r="O16" s="31"/>
      <c r="P16" s="43"/>
      <c r="Q16" s="16"/>
      <c r="R16" s="16"/>
      <c r="S16" s="44"/>
      <c r="T16" s="45"/>
    </row>
    <row r="17" spans="1:20" x14ac:dyDescent="0.3">
      <c r="A17" s="52"/>
      <c r="B17" s="53"/>
      <c r="C17" s="53"/>
      <c r="D17" s="53"/>
      <c r="E17" s="22"/>
      <c r="F17" s="62"/>
      <c r="G17" s="63"/>
      <c r="H17" s="63"/>
      <c r="I17" s="63"/>
      <c r="J17" s="33"/>
      <c r="K17" s="52"/>
      <c r="L17" s="53"/>
      <c r="M17" s="53"/>
      <c r="N17" s="53"/>
      <c r="O17" s="22"/>
      <c r="P17" s="62"/>
      <c r="Q17" s="63"/>
      <c r="R17" s="63"/>
      <c r="S17" s="63"/>
      <c r="T17" s="33"/>
    </row>
    <row r="18" spans="1:20" x14ac:dyDescent="0.3">
      <c r="A18" s="23" t="s">
        <v>12</v>
      </c>
      <c r="B18" s="17"/>
      <c r="C18" s="17"/>
      <c r="D18" s="54"/>
      <c r="E18" s="24"/>
      <c r="F18" s="34" t="s">
        <v>12</v>
      </c>
      <c r="G18" s="35"/>
      <c r="H18" s="35"/>
      <c r="I18" s="64"/>
      <c r="J18" s="36"/>
      <c r="K18" s="23" t="s">
        <v>12</v>
      </c>
      <c r="L18" s="17"/>
      <c r="M18" s="17"/>
      <c r="N18" s="54"/>
      <c r="O18" s="24"/>
      <c r="P18" s="34" t="s">
        <v>12</v>
      </c>
      <c r="Q18" s="35"/>
      <c r="R18" s="35"/>
      <c r="S18" s="64"/>
      <c r="T18" s="36"/>
    </row>
    <row r="19" spans="1:20" x14ac:dyDescent="0.3">
      <c r="A19" s="23"/>
      <c r="B19" s="17"/>
      <c r="C19" s="17"/>
      <c r="D19" s="54"/>
      <c r="E19" s="24"/>
      <c r="F19" s="34"/>
      <c r="G19" s="35"/>
      <c r="H19" s="35"/>
      <c r="I19" s="64"/>
      <c r="J19" s="36"/>
      <c r="K19" s="23"/>
      <c r="L19" s="17"/>
      <c r="M19" s="17"/>
      <c r="N19" s="54"/>
      <c r="O19" s="24"/>
      <c r="P19" s="34"/>
      <c r="Q19" s="35"/>
      <c r="R19" s="35"/>
      <c r="S19" s="64"/>
      <c r="T19" s="36"/>
    </row>
    <row r="20" spans="1:20" x14ac:dyDescent="0.3">
      <c r="A20" s="26" t="s">
        <v>13</v>
      </c>
      <c r="B20" s="17"/>
      <c r="C20" s="17"/>
      <c r="D20" s="54"/>
      <c r="E20" s="24"/>
      <c r="F20" s="37" t="s">
        <v>13</v>
      </c>
      <c r="G20" s="35"/>
      <c r="H20" s="35"/>
      <c r="I20" s="64"/>
      <c r="J20" s="36"/>
      <c r="K20" s="26" t="s">
        <v>13</v>
      </c>
      <c r="L20" s="17"/>
      <c r="M20" s="17"/>
      <c r="N20" s="54"/>
      <c r="O20" s="24"/>
      <c r="P20" s="37" t="s">
        <v>13</v>
      </c>
      <c r="Q20" s="35"/>
      <c r="R20" s="35"/>
      <c r="S20" s="64"/>
      <c r="T20" s="36"/>
    </row>
    <row r="21" spans="1:20" x14ac:dyDescent="0.3">
      <c r="A21" s="26"/>
      <c r="B21" s="3" t="s">
        <v>14</v>
      </c>
      <c r="C21" s="18"/>
      <c r="D21" s="5">
        <v>19770</v>
      </c>
      <c r="E21" s="130">
        <v>0.67419178829627613</v>
      </c>
      <c r="F21" s="37"/>
      <c r="G21" s="10" t="s">
        <v>14</v>
      </c>
      <c r="H21" s="38"/>
      <c r="I21" s="8">
        <v>16533</v>
      </c>
      <c r="J21" s="131">
        <v>0.66946064139941686</v>
      </c>
      <c r="K21" s="26"/>
      <c r="L21" s="3" t="s">
        <v>14</v>
      </c>
      <c r="M21" s="18"/>
      <c r="N21" s="5">
        <v>22395</v>
      </c>
      <c r="O21" s="130">
        <v>0.65676412798029271</v>
      </c>
      <c r="P21" s="37"/>
      <c r="Q21" s="10" t="s">
        <v>14</v>
      </c>
      <c r="R21" s="38"/>
      <c r="S21" s="8">
        <v>21891</v>
      </c>
      <c r="T21" s="131">
        <v>0.64854535758724896</v>
      </c>
    </row>
    <row r="22" spans="1:20" x14ac:dyDescent="0.3">
      <c r="A22" s="26"/>
      <c r="B22" s="18" t="s">
        <v>15</v>
      </c>
      <c r="C22" s="18"/>
      <c r="D22" s="19">
        <v>29324</v>
      </c>
      <c r="E22" s="130"/>
      <c r="F22" s="37"/>
      <c r="G22" s="38" t="s">
        <v>15</v>
      </c>
      <c r="H22" s="38"/>
      <c r="I22" s="39">
        <v>24696</v>
      </c>
      <c r="J22" s="131"/>
      <c r="K22" s="26"/>
      <c r="L22" s="18" t="s">
        <v>15</v>
      </c>
      <c r="M22" s="18"/>
      <c r="N22" s="19">
        <v>34099</v>
      </c>
      <c r="O22" s="130"/>
      <c r="P22" s="37"/>
      <c r="Q22" s="38" t="s">
        <v>15</v>
      </c>
      <c r="R22" s="38"/>
      <c r="S22" s="39">
        <v>33754</v>
      </c>
      <c r="T22" s="131"/>
    </row>
    <row r="23" spans="1:20" x14ac:dyDescent="0.3">
      <c r="A23" s="26"/>
      <c r="B23" s="18"/>
      <c r="C23" s="18"/>
      <c r="D23" s="55"/>
      <c r="E23" s="56"/>
      <c r="F23" s="37"/>
      <c r="G23" s="38"/>
      <c r="H23" s="38"/>
      <c r="I23" s="65"/>
      <c r="J23" s="66"/>
      <c r="K23" s="26"/>
      <c r="L23" s="18"/>
      <c r="M23" s="18"/>
      <c r="N23" s="55"/>
      <c r="O23" s="56"/>
      <c r="P23" s="37"/>
      <c r="Q23" s="38"/>
      <c r="R23" s="38"/>
      <c r="S23" s="65"/>
      <c r="T23" s="66"/>
    </row>
    <row r="24" spans="1:20" x14ac:dyDescent="0.3">
      <c r="A24" s="26" t="s">
        <v>16</v>
      </c>
      <c r="B24" s="17"/>
      <c r="C24" s="17"/>
      <c r="D24" s="17"/>
      <c r="E24" s="24"/>
      <c r="F24" s="37" t="s">
        <v>16</v>
      </c>
      <c r="G24" s="35"/>
      <c r="H24" s="35"/>
      <c r="I24" s="35"/>
      <c r="J24" s="36"/>
      <c r="K24" s="26" t="s">
        <v>16</v>
      </c>
      <c r="L24" s="17"/>
      <c r="M24" s="17"/>
      <c r="N24" s="17"/>
      <c r="O24" s="24"/>
      <c r="P24" s="37" t="s">
        <v>16</v>
      </c>
      <c r="Q24" s="35"/>
      <c r="R24" s="35"/>
      <c r="S24" s="35"/>
      <c r="T24" s="36"/>
    </row>
    <row r="25" spans="1:20" x14ac:dyDescent="0.3">
      <c r="A25" s="28"/>
      <c r="B25" s="3" t="s">
        <v>17</v>
      </c>
      <c r="C25" s="18"/>
      <c r="D25" s="5">
        <v>5628</v>
      </c>
      <c r="E25" s="130">
        <v>0.19192470331469103</v>
      </c>
      <c r="F25" s="42"/>
      <c r="G25" s="10" t="s">
        <v>17</v>
      </c>
      <c r="H25" s="38"/>
      <c r="I25" s="8">
        <v>3599</v>
      </c>
      <c r="J25" s="131">
        <v>0.14573210236475542</v>
      </c>
      <c r="K25" s="28"/>
      <c r="L25" s="3" t="s">
        <v>17</v>
      </c>
      <c r="M25" s="18"/>
      <c r="N25" s="5">
        <v>6968</v>
      </c>
      <c r="O25" s="130">
        <v>0.20434616850934045</v>
      </c>
      <c r="P25" s="42"/>
      <c r="Q25" s="10" t="s">
        <v>17</v>
      </c>
      <c r="R25" s="38"/>
      <c r="S25" s="8">
        <v>6221</v>
      </c>
      <c r="T25" s="131">
        <v>0.18430408247911359</v>
      </c>
    </row>
    <row r="26" spans="1:20" x14ac:dyDescent="0.3">
      <c r="A26" s="28"/>
      <c r="B26" s="18" t="s">
        <v>15</v>
      </c>
      <c r="C26" s="18"/>
      <c r="D26" s="19">
        <v>29324</v>
      </c>
      <c r="E26" s="130"/>
      <c r="F26" s="42"/>
      <c r="G26" s="38" t="s">
        <v>15</v>
      </c>
      <c r="H26" s="38"/>
      <c r="I26" s="39">
        <v>24696</v>
      </c>
      <c r="J26" s="131"/>
      <c r="K26" s="28"/>
      <c r="L26" s="18" t="s">
        <v>15</v>
      </c>
      <c r="M26" s="18"/>
      <c r="N26" s="19">
        <v>34099</v>
      </c>
      <c r="O26" s="130"/>
      <c r="P26" s="42"/>
      <c r="Q26" s="38" t="s">
        <v>15</v>
      </c>
      <c r="R26" s="38"/>
      <c r="S26" s="39">
        <v>33754</v>
      </c>
      <c r="T26" s="131"/>
    </row>
    <row r="27" spans="1:20" x14ac:dyDescent="0.3">
      <c r="A27" s="28"/>
      <c r="B27" s="18"/>
      <c r="C27" s="18"/>
      <c r="D27" s="55"/>
      <c r="E27" s="56"/>
      <c r="F27" s="42"/>
      <c r="G27" s="38"/>
      <c r="H27" s="38"/>
      <c r="I27" s="65"/>
      <c r="J27" s="66"/>
      <c r="K27" s="28"/>
      <c r="L27" s="18"/>
      <c r="M27" s="18"/>
      <c r="N27" s="55"/>
      <c r="O27" s="56"/>
      <c r="P27" s="42"/>
      <c r="Q27" s="38"/>
      <c r="R27" s="38"/>
      <c r="S27" s="65"/>
      <c r="T27" s="66"/>
    </row>
    <row r="28" spans="1:20" x14ac:dyDescent="0.3">
      <c r="A28" s="25" t="s">
        <v>18</v>
      </c>
      <c r="B28" s="17"/>
      <c r="C28" s="17"/>
      <c r="D28" s="17"/>
      <c r="E28" s="24"/>
      <c r="F28" s="37" t="s">
        <v>18</v>
      </c>
      <c r="G28" s="35"/>
      <c r="H28" s="35"/>
      <c r="I28" s="35"/>
      <c r="J28" s="36"/>
      <c r="K28" s="26" t="s">
        <v>18</v>
      </c>
      <c r="L28" s="17"/>
      <c r="M28" s="17"/>
      <c r="N28" s="17"/>
      <c r="O28" s="24"/>
      <c r="P28" s="37" t="s">
        <v>18</v>
      </c>
      <c r="Q28" s="35"/>
      <c r="R28" s="35"/>
      <c r="S28" s="35"/>
      <c r="T28" s="36"/>
    </row>
    <row r="29" spans="1:20" x14ac:dyDescent="0.3">
      <c r="A29" s="28"/>
      <c r="B29" s="3" t="s">
        <v>15</v>
      </c>
      <c r="C29" s="18"/>
      <c r="D29" s="11">
        <v>29324</v>
      </c>
      <c r="E29" s="127">
        <v>0.48754696904199779</v>
      </c>
      <c r="F29" s="42"/>
      <c r="G29" s="10" t="s">
        <v>15</v>
      </c>
      <c r="H29" s="38"/>
      <c r="I29" s="12">
        <v>24696</v>
      </c>
      <c r="J29" s="129">
        <v>0.31220054865175784</v>
      </c>
      <c r="K29" s="28"/>
      <c r="L29" s="3" t="s">
        <v>15</v>
      </c>
      <c r="M29" s="18"/>
      <c r="N29" s="11">
        <v>34099</v>
      </c>
      <c r="O29" s="127">
        <v>0.42395345078390173</v>
      </c>
      <c r="P29" s="42"/>
      <c r="Q29" s="10" t="s">
        <v>15</v>
      </c>
      <c r="R29" s="38"/>
      <c r="S29" s="12">
        <v>33754</v>
      </c>
      <c r="T29" s="129">
        <v>0.42355568940420618</v>
      </c>
    </row>
    <row r="30" spans="1:20" x14ac:dyDescent="0.3">
      <c r="A30" s="28"/>
      <c r="B30" s="18" t="s">
        <v>19</v>
      </c>
      <c r="C30" s="18"/>
      <c r="D30" s="57">
        <v>60146</v>
      </c>
      <c r="E30" s="127"/>
      <c r="F30" s="42"/>
      <c r="G30" s="38" t="s">
        <v>19</v>
      </c>
      <c r="H30" s="38"/>
      <c r="I30" s="67">
        <v>79103</v>
      </c>
      <c r="J30" s="129"/>
      <c r="K30" s="28"/>
      <c r="L30" s="18" t="s">
        <v>19</v>
      </c>
      <c r="M30" s="18"/>
      <c r="N30" s="57">
        <v>80431</v>
      </c>
      <c r="O30" s="127"/>
      <c r="P30" s="42"/>
      <c r="Q30" s="38" t="s">
        <v>19</v>
      </c>
      <c r="R30" s="38"/>
      <c r="S30" s="67">
        <v>79692</v>
      </c>
      <c r="T30" s="129"/>
    </row>
    <row r="31" spans="1:20" x14ac:dyDescent="0.3">
      <c r="A31" s="28"/>
      <c r="B31" s="18"/>
      <c r="C31" s="18"/>
      <c r="D31" s="58"/>
      <c r="E31" s="59"/>
      <c r="F31" s="42"/>
      <c r="G31" s="38"/>
      <c r="H31" s="38"/>
      <c r="I31" s="68"/>
      <c r="J31" s="69"/>
      <c r="K31" s="28"/>
      <c r="L31" s="18"/>
      <c r="M31" s="18"/>
      <c r="N31" s="58"/>
      <c r="O31" s="59"/>
      <c r="P31" s="42"/>
      <c r="Q31" s="38"/>
      <c r="R31" s="38"/>
      <c r="S31" s="68"/>
      <c r="T31" s="69"/>
    </row>
    <row r="32" spans="1:20" x14ac:dyDescent="0.3">
      <c r="A32" s="26" t="s">
        <v>20</v>
      </c>
      <c r="B32" s="17"/>
      <c r="C32" s="17"/>
      <c r="D32" s="60"/>
      <c r="E32" s="24"/>
      <c r="F32" s="37" t="s">
        <v>20</v>
      </c>
      <c r="G32" s="35"/>
      <c r="H32" s="35"/>
      <c r="I32" s="70"/>
      <c r="J32" s="36"/>
      <c r="K32" s="26" t="s">
        <v>20</v>
      </c>
      <c r="L32" s="17"/>
      <c r="M32" s="17"/>
      <c r="N32" s="60"/>
      <c r="O32" s="24"/>
      <c r="P32" s="37" t="s">
        <v>20</v>
      </c>
      <c r="Q32" s="35"/>
      <c r="R32" s="35"/>
      <c r="S32" s="70"/>
      <c r="T32" s="36"/>
    </row>
    <row r="33" spans="1:20" x14ac:dyDescent="0.3">
      <c r="A33" s="28"/>
      <c r="B33" s="3" t="s">
        <v>17</v>
      </c>
      <c r="C33" s="18"/>
      <c r="D33" s="13">
        <v>5628</v>
      </c>
      <c r="E33" s="130">
        <v>9.3572307385362291E-2</v>
      </c>
      <c r="F33" s="42"/>
      <c r="G33" s="10" t="s">
        <v>17</v>
      </c>
      <c r="H33" s="38"/>
      <c r="I33" s="14">
        <v>3599</v>
      </c>
      <c r="J33" s="131">
        <v>4.5497642314450783E-2</v>
      </c>
      <c r="K33" s="28"/>
      <c r="L33" s="3" t="s">
        <v>17</v>
      </c>
      <c r="M33" s="18"/>
      <c r="N33" s="13">
        <v>6968</v>
      </c>
      <c r="O33" s="130">
        <v>8.663326329400356E-2</v>
      </c>
      <c r="P33" s="42"/>
      <c r="Q33" s="10" t="s">
        <v>17</v>
      </c>
      <c r="R33" s="38"/>
      <c r="S33" s="14">
        <v>6221</v>
      </c>
      <c r="T33" s="131">
        <v>7.8063042714450637E-2</v>
      </c>
    </row>
    <row r="34" spans="1:20" x14ac:dyDescent="0.3">
      <c r="A34" s="28"/>
      <c r="B34" s="18" t="s">
        <v>19</v>
      </c>
      <c r="C34" s="18"/>
      <c r="D34" s="58">
        <v>60146</v>
      </c>
      <c r="E34" s="130"/>
      <c r="F34" s="42"/>
      <c r="G34" s="38" t="s">
        <v>19</v>
      </c>
      <c r="H34" s="38"/>
      <c r="I34" s="68">
        <v>79103</v>
      </c>
      <c r="J34" s="131"/>
      <c r="K34" s="28"/>
      <c r="L34" s="18" t="s">
        <v>19</v>
      </c>
      <c r="M34" s="18"/>
      <c r="N34" s="58">
        <v>80431</v>
      </c>
      <c r="O34" s="130"/>
      <c r="P34" s="42"/>
      <c r="Q34" s="38" t="s">
        <v>19</v>
      </c>
      <c r="R34" s="38"/>
      <c r="S34" s="68">
        <v>79692</v>
      </c>
      <c r="T34" s="131"/>
    </row>
    <row r="35" spans="1:20" x14ac:dyDescent="0.3">
      <c r="A35" s="29"/>
      <c r="B35" s="3"/>
      <c r="C35" s="3"/>
      <c r="D35" s="13"/>
      <c r="E35" s="61"/>
      <c r="F35" s="43"/>
      <c r="G35" s="10"/>
      <c r="H35" s="10"/>
      <c r="I35" s="14"/>
      <c r="J35" s="71"/>
      <c r="K35" s="29"/>
      <c r="L35" s="3"/>
      <c r="M35" s="3"/>
      <c r="N35" s="13"/>
      <c r="O35" s="61"/>
      <c r="P35" s="43"/>
      <c r="Q35" s="10"/>
      <c r="R35" s="10"/>
      <c r="S35" s="14"/>
      <c r="T35" s="71"/>
    </row>
    <row r="36" spans="1:20" x14ac:dyDescent="0.3">
      <c r="A36" s="52"/>
      <c r="B36" s="21"/>
      <c r="C36" s="21"/>
      <c r="D36" s="53"/>
      <c r="E36" s="22"/>
      <c r="F36" s="62"/>
      <c r="G36" s="32"/>
      <c r="H36" s="32"/>
      <c r="I36" s="63"/>
      <c r="J36" s="33"/>
      <c r="K36" s="52"/>
      <c r="L36" s="21"/>
      <c r="M36" s="21"/>
      <c r="N36" s="53"/>
      <c r="O36" s="22"/>
      <c r="P36" s="62"/>
      <c r="Q36" s="32"/>
      <c r="R36" s="32"/>
      <c r="S36" s="63"/>
      <c r="T36" s="33"/>
    </row>
    <row r="37" spans="1:20" x14ac:dyDescent="0.3">
      <c r="A37" s="23" t="s">
        <v>21</v>
      </c>
      <c r="B37" s="17"/>
      <c r="C37" s="17"/>
      <c r="D37" s="60"/>
      <c r="E37" s="24"/>
      <c r="F37" s="34" t="s">
        <v>21</v>
      </c>
      <c r="G37" s="35"/>
      <c r="H37" s="35"/>
      <c r="I37" s="70"/>
      <c r="J37" s="36"/>
      <c r="K37" s="23" t="s">
        <v>21</v>
      </c>
      <c r="L37" s="17"/>
      <c r="M37" s="17"/>
      <c r="N37" s="60"/>
      <c r="O37" s="24"/>
      <c r="P37" s="34" t="s">
        <v>21</v>
      </c>
      <c r="Q37" s="35"/>
      <c r="R37" s="35"/>
      <c r="S37" s="70"/>
      <c r="T37" s="36"/>
    </row>
    <row r="38" spans="1:20" x14ac:dyDescent="0.3">
      <c r="A38" s="23"/>
      <c r="B38" s="17"/>
      <c r="C38" s="17"/>
      <c r="D38" s="60"/>
      <c r="E38" s="24"/>
      <c r="F38" s="34"/>
      <c r="G38" s="35"/>
      <c r="H38" s="35"/>
      <c r="I38" s="70"/>
      <c r="J38" s="36"/>
      <c r="K38" s="23"/>
      <c r="L38" s="17"/>
      <c r="M38" s="17"/>
      <c r="N38" s="60"/>
      <c r="O38" s="24"/>
      <c r="P38" s="34"/>
      <c r="Q38" s="35"/>
      <c r="R38" s="35"/>
      <c r="S38" s="70"/>
      <c r="T38" s="36"/>
    </row>
    <row r="39" spans="1:20" x14ac:dyDescent="0.3">
      <c r="A39" s="26" t="s">
        <v>22</v>
      </c>
      <c r="B39" s="17"/>
      <c r="C39" s="17"/>
      <c r="D39" s="60"/>
      <c r="E39" s="24"/>
      <c r="F39" s="37" t="s">
        <v>22</v>
      </c>
      <c r="G39" s="35"/>
      <c r="H39" s="35"/>
      <c r="I39" s="70"/>
      <c r="J39" s="36"/>
      <c r="K39" s="26" t="s">
        <v>22</v>
      </c>
      <c r="L39" s="17"/>
      <c r="M39" s="17"/>
      <c r="N39" s="60"/>
      <c r="O39" s="24"/>
      <c r="P39" s="37" t="s">
        <v>22</v>
      </c>
      <c r="Q39" s="35"/>
      <c r="R39" s="35"/>
      <c r="S39" s="70"/>
      <c r="T39" s="36"/>
    </row>
    <row r="40" spans="1:20" x14ac:dyDescent="0.3">
      <c r="A40" s="28"/>
      <c r="B40" s="3" t="s">
        <v>23</v>
      </c>
      <c r="C40" s="18"/>
      <c r="D40" s="11">
        <v>9554</v>
      </c>
      <c r="E40" s="132">
        <v>1.856587640886125</v>
      </c>
      <c r="F40" s="42"/>
      <c r="G40" s="10" t="s">
        <v>23</v>
      </c>
      <c r="H40" s="38"/>
      <c r="I40" s="12">
        <v>8163</v>
      </c>
      <c r="J40" s="133">
        <v>1.4115510980459969</v>
      </c>
      <c r="K40" s="28"/>
      <c r="L40" s="3" t="s">
        <v>23</v>
      </c>
      <c r="M40" s="18"/>
      <c r="N40" s="11">
        <v>11704</v>
      </c>
      <c r="O40" s="132">
        <v>1.9519679786524349</v>
      </c>
      <c r="P40" s="42"/>
      <c r="Q40" s="10" t="s">
        <v>23</v>
      </c>
      <c r="R40" s="38"/>
      <c r="S40" s="12">
        <v>11863</v>
      </c>
      <c r="T40" s="133">
        <v>1.9947872877080881</v>
      </c>
    </row>
    <row r="41" spans="1:20" x14ac:dyDescent="0.3">
      <c r="A41" s="28"/>
      <c r="B41" s="18" t="s">
        <v>24</v>
      </c>
      <c r="C41" s="18"/>
      <c r="D41" s="57">
        <v>5146</v>
      </c>
      <c r="E41" s="132"/>
      <c r="F41" s="42"/>
      <c r="G41" s="38" t="s">
        <v>24</v>
      </c>
      <c r="H41" s="38"/>
      <c r="I41" s="67">
        <v>5783</v>
      </c>
      <c r="J41" s="133"/>
      <c r="K41" s="28"/>
      <c r="L41" s="18" t="s">
        <v>24</v>
      </c>
      <c r="M41" s="18"/>
      <c r="N41" s="57">
        <v>5996</v>
      </c>
      <c r="O41" s="132"/>
      <c r="P41" s="42"/>
      <c r="Q41" s="38" t="s">
        <v>24</v>
      </c>
      <c r="R41" s="38"/>
      <c r="S41" s="67">
        <v>5947</v>
      </c>
      <c r="T41" s="133"/>
    </row>
    <row r="42" spans="1:20" x14ac:dyDescent="0.3">
      <c r="A42" s="28"/>
      <c r="B42" s="18"/>
      <c r="C42" s="18"/>
      <c r="D42" s="58"/>
      <c r="E42" s="59"/>
      <c r="F42" s="42"/>
      <c r="G42" s="38"/>
      <c r="H42" s="38"/>
      <c r="I42" s="68"/>
      <c r="J42" s="69"/>
      <c r="K42" s="28"/>
      <c r="L42" s="18"/>
      <c r="M42" s="18"/>
      <c r="N42" s="58"/>
      <c r="O42" s="59"/>
      <c r="P42" s="42"/>
      <c r="Q42" s="38"/>
      <c r="R42" s="38"/>
      <c r="S42" s="68"/>
      <c r="T42" s="69"/>
    </row>
    <row r="43" spans="1:20" x14ac:dyDescent="0.3">
      <c r="A43" s="26" t="s">
        <v>25</v>
      </c>
      <c r="B43" s="17"/>
      <c r="C43" s="17"/>
      <c r="D43" s="60"/>
      <c r="E43" s="24"/>
      <c r="F43" s="37" t="s">
        <v>25</v>
      </c>
      <c r="G43" s="35"/>
      <c r="H43" s="35"/>
      <c r="I43" s="70"/>
      <c r="J43" s="36"/>
      <c r="K43" s="26" t="s">
        <v>25</v>
      </c>
      <c r="L43" s="17"/>
      <c r="M43" s="17"/>
      <c r="N43" s="60"/>
      <c r="O43" s="24"/>
      <c r="P43" s="37" t="s">
        <v>25</v>
      </c>
      <c r="Q43" s="35"/>
      <c r="R43" s="35"/>
      <c r="S43" s="70"/>
      <c r="T43" s="36"/>
    </row>
    <row r="44" spans="1:20" x14ac:dyDescent="0.3">
      <c r="A44" s="28"/>
      <c r="B44" s="3">
        <v>365</v>
      </c>
      <c r="C44" s="18"/>
      <c r="D44" s="46">
        <v>365</v>
      </c>
      <c r="E44" s="134">
        <v>196.59723675947248</v>
      </c>
      <c r="F44" s="42"/>
      <c r="G44" s="10">
        <v>365</v>
      </c>
      <c r="H44" s="38"/>
      <c r="I44" s="47">
        <v>365</v>
      </c>
      <c r="J44" s="135">
        <v>258.58079137571974</v>
      </c>
      <c r="K44" s="28"/>
      <c r="L44" s="3">
        <v>365</v>
      </c>
      <c r="M44" s="18"/>
      <c r="N44" s="46">
        <v>365</v>
      </c>
      <c r="O44" s="134">
        <v>186.99077238550925</v>
      </c>
      <c r="P44" s="42"/>
      <c r="Q44" s="10">
        <v>365</v>
      </c>
      <c r="R44" s="38"/>
      <c r="S44" s="47">
        <v>365</v>
      </c>
      <c r="T44" s="135">
        <v>182.97690297563855</v>
      </c>
    </row>
    <row r="45" spans="1:20" x14ac:dyDescent="0.3">
      <c r="A45" s="28"/>
      <c r="B45" s="18" t="s">
        <v>22</v>
      </c>
      <c r="C45" s="18"/>
      <c r="D45" s="72">
        <v>1.856587640886125</v>
      </c>
      <c r="E45" s="134"/>
      <c r="F45" s="42"/>
      <c r="G45" s="38" t="s">
        <v>22</v>
      </c>
      <c r="H45" s="38"/>
      <c r="I45" s="74">
        <v>1.4115510980459969</v>
      </c>
      <c r="J45" s="135"/>
      <c r="K45" s="28"/>
      <c r="L45" s="18" t="s">
        <v>22</v>
      </c>
      <c r="M45" s="18"/>
      <c r="N45" s="72">
        <v>1.9519679786524349</v>
      </c>
      <c r="O45" s="134"/>
      <c r="P45" s="42"/>
      <c r="Q45" s="38" t="s">
        <v>22</v>
      </c>
      <c r="R45" s="38"/>
      <c r="S45" s="74">
        <v>1.9947872877080881</v>
      </c>
      <c r="T45" s="135"/>
    </row>
    <row r="46" spans="1:20" x14ac:dyDescent="0.3">
      <c r="A46" s="28"/>
      <c r="B46" s="18"/>
      <c r="C46" s="18"/>
      <c r="D46" s="58"/>
      <c r="E46" s="59"/>
      <c r="F46" s="42"/>
      <c r="G46" s="38"/>
      <c r="H46" s="38"/>
      <c r="I46" s="68"/>
      <c r="J46" s="69"/>
      <c r="K46" s="28"/>
      <c r="L46" s="18"/>
      <c r="M46" s="18"/>
      <c r="N46" s="58"/>
      <c r="O46" s="59"/>
      <c r="P46" s="42"/>
      <c r="Q46" s="38"/>
      <c r="R46" s="38"/>
      <c r="S46" s="68"/>
      <c r="T46" s="69"/>
    </row>
    <row r="47" spans="1:20" x14ac:dyDescent="0.3">
      <c r="A47" s="26" t="s">
        <v>26</v>
      </c>
      <c r="B47" s="17"/>
      <c r="C47" s="17"/>
      <c r="D47" s="60"/>
      <c r="E47" s="24"/>
      <c r="F47" s="37" t="s">
        <v>26</v>
      </c>
      <c r="G47" s="35"/>
      <c r="H47" s="35"/>
      <c r="I47" s="70"/>
      <c r="J47" s="36"/>
      <c r="K47" s="26" t="s">
        <v>26</v>
      </c>
      <c r="L47" s="17"/>
      <c r="M47" s="17"/>
      <c r="N47" s="60"/>
      <c r="O47" s="24"/>
      <c r="P47" s="37" t="s">
        <v>26</v>
      </c>
      <c r="Q47" s="35"/>
      <c r="R47" s="35"/>
      <c r="S47" s="70"/>
      <c r="T47" s="36"/>
    </row>
    <row r="48" spans="1:20" x14ac:dyDescent="0.3">
      <c r="A48" s="28"/>
      <c r="B48" s="3" t="s">
        <v>27</v>
      </c>
      <c r="C48" s="18"/>
      <c r="D48" s="46">
        <v>2574345</v>
      </c>
      <c r="E48" s="136">
        <v>87.789694448233533</v>
      </c>
      <c r="F48" s="42"/>
      <c r="G48" s="10" t="s">
        <v>27</v>
      </c>
      <c r="H48" s="38"/>
      <c r="I48" s="47">
        <v>2868900</v>
      </c>
      <c r="J48" s="137">
        <v>116.16861030126336</v>
      </c>
      <c r="K48" s="28"/>
      <c r="L48" s="3" t="s">
        <v>27</v>
      </c>
      <c r="M48" s="18"/>
      <c r="N48" s="46">
        <v>2537480</v>
      </c>
      <c r="O48" s="136">
        <v>74.415085486377905</v>
      </c>
      <c r="P48" s="42"/>
      <c r="Q48" s="10" t="s">
        <v>27</v>
      </c>
      <c r="R48" s="38"/>
      <c r="S48" s="47">
        <v>2628730</v>
      </c>
      <c r="T48" s="137">
        <v>77.879066184748481</v>
      </c>
    </row>
    <row r="49" spans="1:20" x14ac:dyDescent="0.3">
      <c r="A49" s="28"/>
      <c r="B49" s="18" t="s">
        <v>15</v>
      </c>
      <c r="C49" s="18"/>
      <c r="D49" s="57">
        <v>29324</v>
      </c>
      <c r="E49" s="136"/>
      <c r="F49" s="42"/>
      <c r="G49" s="38" t="s">
        <v>15</v>
      </c>
      <c r="H49" s="38"/>
      <c r="I49" s="67">
        <v>24696</v>
      </c>
      <c r="J49" s="137"/>
      <c r="K49" s="28"/>
      <c r="L49" s="18" t="s">
        <v>15</v>
      </c>
      <c r="M49" s="18"/>
      <c r="N49" s="57">
        <v>34099</v>
      </c>
      <c r="O49" s="136"/>
      <c r="P49" s="42"/>
      <c r="Q49" s="38" t="s">
        <v>15</v>
      </c>
      <c r="R49" s="38"/>
      <c r="S49" s="67">
        <v>33754</v>
      </c>
      <c r="T49" s="137"/>
    </row>
    <row r="50" spans="1:20" x14ac:dyDescent="0.3">
      <c r="A50" s="28"/>
      <c r="B50" s="18"/>
      <c r="C50" s="18"/>
      <c r="D50" s="58"/>
      <c r="E50" s="56"/>
      <c r="F50" s="42"/>
      <c r="G50" s="38"/>
      <c r="H50" s="38"/>
      <c r="I50" s="68"/>
      <c r="J50" s="66"/>
      <c r="K50" s="28"/>
      <c r="L50" s="18"/>
      <c r="M50" s="18"/>
      <c r="N50" s="58"/>
      <c r="O50" s="56"/>
      <c r="P50" s="42"/>
      <c r="Q50" s="38"/>
      <c r="R50" s="38"/>
      <c r="S50" s="68"/>
      <c r="T50" s="66"/>
    </row>
    <row r="51" spans="1:20" x14ac:dyDescent="0.3">
      <c r="A51" s="26" t="s">
        <v>28</v>
      </c>
      <c r="B51" s="17"/>
      <c r="C51" s="17"/>
      <c r="D51" s="60"/>
      <c r="E51" s="73"/>
      <c r="F51" s="37" t="s">
        <v>28</v>
      </c>
      <c r="G51" s="35"/>
      <c r="H51" s="35"/>
      <c r="I51" s="70"/>
      <c r="J51" s="75"/>
      <c r="K51" s="26" t="s">
        <v>28</v>
      </c>
      <c r="L51" s="17"/>
      <c r="M51" s="17"/>
      <c r="N51" s="60"/>
      <c r="O51" s="73"/>
      <c r="P51" s="37" t="s">
        <v>28</v>
      </c>
      <c r="Q51" s="35"/>
      <c r="R51" s="35"/>
      <c r="S51" s="70"/>
      <c r="T51" s="75"/>
    </row>
    <row r="52" spans="1:20" x14ac:dyDescent="0.3">
      <c r="A52" s="28"/>
      <c r="B52" s="3" t="s">
        <v>29</v>
      </c>
      <c r="C52" s="18"/>
      <c r="D52" s="46">
        <v>5935995</v>
      </c>
      <c r="E52" s="136">
        <v>621.30992254553064</v>
      </c>
      <c r="F52" s="42"/>
      <c r="G52" s="10" t="s">
        <v>29</v>
      </c>
      <c r="H52" s="38"/>
      <c r="I52" s="47">
        <v>6407210</v>
      </c>
      <c r="J52" s="137">
        <v>784.90873453387235</v>
      </c>
      <c r="K52" s="28"/>
      <c r="L52" s="3" t="s">
        <v>29</v>
      </c>
      <c r="M52" s="18"/>
      <c r="N52" s="46">
        <v>5781600</v>
      </c>
      <c r="O52" s="136">
        <v>493.98496240601503</v>
      </c>
      <c r="P52" s="42"/>
      <c r="Q52" s="10" t="s">
        <v>29</v>
      </c>
      <c r="R52" s="38"/>
      <c r="S52" s="47">
        <v>5452735</v>
      </c>
      <c r="T52" s="137">
        <v>459.64216471381604</v>
      </c>
    </row>
    <row r="53" spans="1:20" x14ac:dyDescent="0.3">
      <c r="A53" s="28"/>
      <c r="B53" s="18" t="s">
        <v>30</v>
      </c>
      <c r="C53" s="18"/>
      <c r="D53" s="57">
        <v>9554</v>
      </c>
      <c r="E53" s="136"/>
      <c r="F53" s="42"/>
      <c r="G53" s="38" t="s">
        <v>30</v>
      </c>
      <c r="H53" s="38"/>
      <c r="I53" s="67">
        <v>8163</v>
      </c>
      <c r="J53" s="137"/>
      <c r="K53" s="28"/>
      <c r="L53" s="18" t="s">
        <v>30</v>
      </c>
      <c r="M53" s="18"/>
      <c r="N53" s="57">
        <v>11704</v>
      </c>
      <c r="O53" s="136"/>
      <c r="P53" s="42"/>
      <c r="Q53" s="38" t="s">
        <v>30</v>
      </c>
      <c r="R53" s="38"/>
      <c r="S53" s="67">
        <v>11863</v>
      </c>
      <c r="T53" s="137"/>
    </row>
    <row r="54" spans="1:20" x14ac:dyDescent="0.3">
      <c r="A54" s="29"/>
      <c r="B54" s="3"/>
      <c r="C54" s="3"/>
      <c r="D54" s="13"/>
      <c r="E54" s="61"/>
      <c r="F54" s="43"/>
      <c r="G54" s="10"/>
      <c r="H54" s="10"/>
      <c r="I54" s="14"/>
      <c r="J54" s="71"/>
      <c r="K54" s="29"/>
      <c r="L54" s="3"/>
      <c r="M54" s="3"/>
      <c r="N54" s="13"/>
      <c r="O54" s="61"/>
      <c r="P54" s="43"/>
      <c r="Q54" s="10"/>
      <c r="R54" s="10"/>
      <c r="S54" s="14"/>
      <c r="T54" s="71"/>
    </row>
    <row r="55" spans="1:20" x14ac:dyDescent="0.3">
      <c r="A55" s="52"/>
      <c r="B55" s="79"/>
      <c r="C55" s="79"/>
      <c r="D55" s="80"/>
      <c r="E55" s="81"/>
      <c r="F55" s="62"/>
      <c r="G55" s="76"/>
      <c r="H55" s="76"/>
      <c r="I55" s="77"/>
      <c r="J55" s="78"/>
      <c r="K55" s="52"/>
      <c r="L55" s="79"/>
      <c r="M55" s="79"/>
      <c r="N55" s="80"/>
      <c r="O55" s="81"/>
      <c r="P55" s="62"/>
      <c r="Q55" s="76"/>
      <c r="R55" s="76"/>
      <c r="S55" s="77"/>
      <c r="T55" s="78"/>
    </row>
    <row r="56" spans="1:20" x14ac:dyDescent="0.3">
      <c r="A56" s="23" t="s">
        <v>31</v>
      </c>
      <c r="B56" s="17"/>
      <c r="C56" s="17"/>
      <c r="D56" s="17"/>
      <c r="E56" s="24"/>
      <c r="F56" s="34" t="s">
        <v>31</v>
      </c>
      <c r="G56" s="35"/>
      <c r="H56" s="35"/>
      <c r="I56" s="35"/>
      <c r="J56" s="36"/>
      <c r="K56" s="23" t="s">
        <v>31</v>
      </c>
      <c r="L56" s="17"/>
      <c r="M56" s="17"/>
      <c r="N56" s="17"/>
      <c r="O56" s="24"/>
      <c r="P56" s="34" t="s">
        <v>31</v>
      </c>
      <c r="Q56" s="35"/>
      <c r="R56" s="35"/>
      <c r="S56" s="35"/>
      <c r="T56" s="36"/>
    </row>
    <row r="57" spans="1:20" x14ac:dyDescent="0.3">
      <c r="A57" s="23"/>
      <c r="B57" s="17"/>
      <c r="C57" s="17"/>
      <c r="D57" s="17"/>
      <c r="E57" s="24"/>
      <c r="F57" s="34"/>
      <c r="G57" s="35"/>
      <c r="H57" s="35"/>
      <c r="I57" s="35"/>
      <c r="J57" s="36"/>
      <c r="K57" s="23"/>
      <c r="L57" s="17"/>
      <c r="M57" s="17"/>
      <c r="N57" s="17"/>
      <c r="O57" s="24"/>
      <c r="P57" s="34"/>
      <c r="Q57" s="35"/>
      <c r="R57" s="35"/>
      <c r="S57" s="35"/>
      <c r="T57" s="36"/>
    </row>
    <row r="58" spans="1:20" x14ac:dyDescent="0.3">
      <c r="A58" s="26" t="s">
        <v>32</v>
      </c>
      <c r="B58" s="17"/>
      <c r="C58" s="17"/>
      <c r="D58" s="17"/>
      <c r="E58" s="24"/>
      <c r="F58" s="37" t="s">
        <v>32</v>
      </c>
      <c r="G58" s="35"/>
      <c r="H58" s="35"/>
      <c r="I58" s="35"/>
      <c r="J58" s="36"/>
      <c r="K58" s="26" t="s">
        <v>32</v>
      </c>
      <c r="L58" s="17"/>
      <c r="M58" s="17"/>
      <c r="N58" s="17"/>
      <c r="O58" s="24"/>
      <c r="P58" s="37" t="s">
        <v>32</v>
      </c>
      <c r="Q58" s="35"/>
      <c r="R58" s="35"/>
      <c r="S58" s="35"/>
      <c r="T58" s="36"/>
    </row>
    <row r="59" spans="1:20" x14ac:dyDescent="0.3">
      <c r="A59" s="28"/>
      <c r="B59" s="48" t="s">
        <v>33</v>
      </c>
      <c r="C59" s="60"/>
      <c r="D59" s="49">
        <v>4461</v>
      </c>
      <c r="E59" s="138">
        <v>1.1080476900149032</v>
      </c>
      <c r="F59" s="42"/>
      <c r="G59" s="50" t="s">
        <v>33</v>
      </c>
      <c r="H59" s="70"/>
      <c r="I59" s="51">
        <v>3316</v>
      </c>
      <c r="J59" s="139">
        <v>0.8283787159630277</v>
      </c>
      <c r="K59" s="28"/>
      <c r="L59" s="48" t="s">
        <v>33</v>
      </c>
      <c r="M59" s="60"/>
      <c r="N59" s="49">
        <v>5749</v>
      </c>
      <c r="O59" s="138">
        <v>1.1553456591639872</v>
      </c>
      <c r="P59" s="42"/>
      <c r="Q59" s="50" t="s">
        <v>33</v>
      </c>
      <c r="R59" s="70"/>
      <c r="S59" s="51">
        <v>4645</v>
      </c>
      <c r="T59" s="139">
        <v>0.93895290074792803</v>
      </c>
    </row>
    <row r="60" spans="1:20" x14ac:dyDescent="0.3">
      <c r="A60" s="28"/>
      <c r="B60" s="60" t="s">
        <v>34</v>
      </c>
      <c r="C60" s="60"/>
      <c r="D60" s="60">
        <v>4026</v>
      </c>
      <c r="E60" s="138"/>
      <c r="F60" s="42"/>
      <c r="G60" s="70" t="s">
        <v>34</v>
      </c>
      <c r="H60" s="70"/>
      <c r="I60" s="70">
        <v>4003</v>
      </c>
      <c r="J60" s="140"/>
      <c r="K60" s="28"/>
      <c r="L60" s="60" t="s">
        <v>34</v>
      </c>
      <c r="M60" s="60"/>
      <c r="N60" s="60">
        <v>4976</v>
      </c>
      <c r="O60" s="141"/>
      <c r="P60" s="42"/>
      <c r="Q60" s="70" t="s">
        <v>34</v>
      </c>
      <c r="R60" s="70"/>
      <c r="S60" s="70">
        <v>4947</v>
      </c>
      <c r="T60" s="140"/>
    </row>
    <row r="61" spans="1:20" x14ac:dyDescent="0.3">
      <c r="A61" s="28"/>
      <c r="B61" s="17"/>
      <c r="C61" s="17"/>
      <c r="D61" s="17"/>
      <c r="E61" s="24"/>
      <c r="F61" s="42"/>
      <c r="G61" s="35"/>
      <c r="H61" s="35"/>
      <c r="I61" s="35"/>
      <c r="J61" s="36"/>
      <c r="K61" s="28"/>
      <c r="L61" s="17"/>
      <c r="M61" s="17"/>
      <c r="N61" s="17"/>
      <c r="O61" s="24"/>
      <c r="P61" s="42"/>
      <c r="Q61" s="35"/>
      <c r="R61" s="35"/>
      <c r="S61" s="35"/>
      <c r="T61" s="36"/>
    </row>
    <row r="62" spans="1:20" x14ac:dyDescent="0.3">
      <c r="A62" s="26" t="s">
        <v>35</v>
      </c>
      <c r="B62" s="17"/>
      <c r="C62" s="17"/>
      <c r="D62" s="17"/>
      <c r="E62" s="24"/>
      <c r="F62" s="37" t="s">
        <v>35</v>
      </c>
      <c r="G62" s="35"/>
      <c r="H62" s="35"/>
      <c r="I62" s="35"/>
      <c r="J62" s="36"/>
      <c r="K62" s="26" t="s">
        <v>35</v>
      </c>
      <c r="L62" s="17"/>
      <c r="M62" s="17"/>
      <c r="N62" s="17"/>
      <c r="O62" s="24"/>
      <c r="P62" s="37" t="s">
        <v>35</v>
      </c>
      <c r="Q62" s="35"/>
      <c r="R62" s="35"/>
      <c r="S62" s="35"/>
      <c r="T62" s="36"/>
    </row>
    <row r="63" spans="1:20" x14ac:dyDescent="0.3">
      <c r="A63" s="28"/>
      <c r="B63" s="48" t="s">
        <v>36</v>
      </c>
      <c r="C63" s="60"/>
      <c r="D63" s="49">
        <v>2468</v>
      </c>
      <c r="E63" s="138">
        <v>0.6130153999006458</v>
      </c>
      <c r="F63" s="42"/>
      <c r="G63" s="50" t="s">
        <v>36</v>
      </c>
      <c r="H63" s="70"/>
      <c r="I63" s="51">
        <v>4011</v>
      </c>
      <c r="J63" s="139">
        <v>1.0019985011241568</v>
      </c>
      <c r="K63" s="28"/>
      <c r="L63" s="48" t="s">
        <v>36</v>
      </c>
      <c r="M63" s="60"/>
      <c r="N63" s="49">
        <v>3984</v>
      </c>
      <c r="O63" s="138">
        <v>0.80064308681672025</v>
      </c>
      <c r="P63" s="42"/>
      <c r="Q63" s="50" t="s">
        <v>36</v>
      </c>
      <c r="R63" s="70"/>
      <c r="S63" s="51">
        <v>3966</v>
      </c>
      <c r="T63" s="139">
        <v>0.80169799878714376</v>
      </c>
    </row>
    <row r="64" spans="1:20" x14ac:dyDescent="0.3">
      <c r="A64" s="28"/>
      <c r="B64" s="60" t="s">
        <v>34</v>
      </c>
      <c r="C64" s="60"/>
      <c r="D64" s="60">
        <v>4026</v>
      </c>
      <c r="E64" s="138"/>
      <c r="F64" s="42"/>
      <c r="G64" s="70" t="s">
        <v>34</v>
      </c>
      <c r="H64" s="70"/>
      <c r="I64" s="70">
        <v>4003</v>
      </c>
      <c r="J64" s="140"/>
      <c r="K64" s="28"/>
      <c r="L64" s="60" t="s">
        <v>34</v>
      </c>
      <c r="M64" s="60"/>
      <c r="N64" s="60">
        <v>4976</v>
      </c>
      <c r="O64" s="141"/>
      <c r="P64" s="42"/>
      <c r="Q64" s="70" t="s">
        <v>34</v>
      </c>
      <c r="R64" s="70"/>
      <c r="S64" s="70">
        <v>4947</v>
      </c>
      <c r="T64" s="140"/>
    </row>
    <row r="65" spans="1:20" x14ac:dyDescent="0.3">
      <c r="A65" s="29"/>
      <c r="B65" s="15"/>
      <c r="C65" s="15"/>
      <c r="D65" s="15"/>
      <c r="E65" s="31"/>
      <c r="F65" s="43"/>
      <c r="G65" s="16"/>
      <c r="H65" s="16"/>
      <c r="I65" s="16"/>
      <c r="J65" s="45"/>
      <c r="K65" s="29"/>
      <c r="L65" s="15"/>
      <c r="M65" s="15"/>
      <c r="N65" s="15"/>
      <c r="O65" s="31"/>
      <c r="P65" s="43"/>
      <c r="Q65" s="16"/>
      <c r="R65" s="16"/>
      <c r="S65" s="16"/>
      <c r="T65" s="45"/>
    </row>
  </sheetData>
  <mergeCells count="56">
    <mergeCell ref="E59:E60"/>
    <mergeCell ref="J59:J60"/>
    <mergeCell ref="O59:O60"/>
    <mergeCell ref="T59:T60"/>
    <mergeCell ref="E63:E64"/>
    <mergeCell ref="J63:J64"/>
    <mergeCell ref="O63:O64"/>
    <mergeCell ref="T63:T64"/>
    <mergeCell ref="E48:E49"/>
    <mergeCell ref="J48:J49"/>
    <mergeCell ref="O48:O49"/>
    <mergeCell ref="T48:T49"/>
    <mergeCell ref="E52:E53"/>
    <mergeCell ref="J52:J53"/>
    <mergeCell ref="O52:O53"/>
    <mergeCell ref="T52:T53"/>
    <mergeCell ref="E40:E41"/>
    <mergeCell ref="J40:J41"/>
    <mergeCell ref="O40:O41"/>
    <mergeCell ref="T40:T41"/>
    <mergeCell ref="E44:E45"/>
    <mergeCell ref="J44:J45"/>
    <mergeCell ref="O44:O45"/>
    <mergeCell ref="T44:T45"/>
    <mergeCell ref="E29:E30"/>
    <mergeCell ref="J29:J30"/>
    <mergeCell ref="O29:O30"/>
    <mergeCell ref="T29:T30"/>
    <mergeCell ref="E33:E34"/>
    <mergeCell ref="J33:J34"/>
    <mergeCell ref="O33:O34"/>
    <mergeCell ref="T33:T34"/>
    <mergeCell ref="E21:E22"/>
    <mergeCell ref="J21:J22"/>
    <mergeCell ref="O21:O22"/>
    <mergeCell ref="T21:T22"/>
    <mergeCell ref="E25:E26"/>
    <mergeCell ref="J25:J26"/>
    <mergeCell ref="O25:O26"/>
    <mergeCell ref="T25:T26"/>
    <mergeCell ref="E10:E11"/>
    <mergeCell ref="J10:J11"/>
    <mergeCell ref="O10:O11"/>
    <mergeCell ref="T10:T11"/>
    <mergeCell ref="E14:E15"/>
    <mergeCell ref="J14:J15"/>
    <mergeCell ref="O14:O15"/>
    <mergeCell ref="T14:T15"/>
    <mergeCell ref="E6:E7"/>
    <mergeCell ref="J6:J7"/>
    <mergeCell ref="O6:O7"/>
    <mergeCell ref="T6:T7"/>
    <mergeCell ref="A1:E1"/>
    <mergeCell ref="F1:J1"/>
    <mergeCell ref="K1:O1"/>
    <mergeCell ref="P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CE81-6077-4E27-BBDA-50D56A625F95}">
  <dimension ref="A1:G20"/>
  <sheetViews>
    <sheetView zoomScale="117" zoomScaleNormal="110" workbookViewId="0">
      <selection activeCell="F14" sqref="F14"/>
    </sheetView>
  </sheetViews>
  <sheetFormatPr defaultRowHeight="14.4" x14ac:dyDescent="0.3"/>
  <cols>
    <col min="1" max="1" width="22.21875" bestFit="1" customWidth="1"/>
    <col min="7" max="7" width="30.21875" bestFit="1" customWidth="1"/>
  </cols>
  <sheetData>
    <row r="1" spans="1:7" x14ac:dyDescent="0.3">
      <c r="A1" s="89" t="s">
        <v>45</v>
      </c>
      <c r="B1" s="90">
        <v>2022</v>
      </c>
      <c r="C1" s="90">
        <v>2021</v>
      </c>
      <c r="D1" s="90">
        <v>2020</v>
      </c>
      <c r="E1" s="90">
        <v>2019</v>
      </c>
      <c r="F1" s="99" t="s">
        <v>51</v>
      </c>
      <c r="G1" s="100" t="s">
        <v>52</v>
      </c>
    </row>
    <row r="2" spans="1:7" x14ac:dyDescent="0.3">
      <c r="A2" s="142" t="s">
        <v>39</v>
      </c>
      <c r="B2" s="143"/>
      <c r="C2" s="143"/>
      <c r="D2" s="143"/>
      <c r="E2" s="143"/>
      <c r="F2" s="144"/>
      <c r="G2" s="101" t="s">
        <v>54</v>
      </c>
    </row>
    <row r="3" spans="1:7" ht="64.95" customHeight="1" x14ac:dyDescent="0.3">
      <c r="A3" s="92" t="s">
        <v>1</v>
      </c>
      <c r="B3" s="93">
        <v>0.91</v>
      </c>
      <c r="C3" s="93">
        <v>0.79</v>
      </c>
      <c r="D3" s="93">
        <v>0.91</v>
      </c>
      <c r="E3" s="93">
        <v>0.81</v>
      </c>
      <c r="F3" s="97" t="s">
        <v>46</v>
      </c>
      <c r="G3" s="88"/>
    </row>
    <row r="4" spans="1:7" ht="64.95" customHeight="1" x14ac:dyDescent="0.3">
      <c r="A4" s="94" t="s">
        <v>40</v>
      </c>
      <c r="B4" s="95">
        <v>0.68</v>
      </c>
      <c r="C4" s="95">
        <v>0.54</v>
      </c>
      <c r="D4" s="95">
        <v>0.64</v>
      </c>
      <c r="E4" s="95">
        <v>0.56000000000000005</v>
      </c>
      <c r="F4" s="98" t="s">
        <v>46</v>
      </c>
      <c r="G4" s="88"/>
    </row>
    <row r="5" spans="1:7" ht="64.95" customHeight="1" x14ac:dyDescent="0.3">
      <c r="A5" s="92" t="s">
        <v>6</v>
      </c>
      <c r="B5" s="93">
        <v>62</v>
      </c>
      <c r="C5" s="96">
        <v>58</v>
      </c>
      <c r="D5" s="96">
        <v>62</v>
      </c>
      <c r="E5" s="96">
        <v>67</v>
      </c>
      <c r="F5" s="97" t="s">
        <v>47</v>
      </c>
      <c r="G5" s="88"/>
    </row>
    <row r="6" spans="1:7" x14ac:dyDescent="0.3">
      <c r="A6" s="142" t="s">
        <v>53</v>
      </c>
      <c r="B6" s="143"/>
      <c r="C6" s="143"/>
      <c r="D6" s="143"/>
      <c r="E6" s="143"/>
      <c r="F6" s="143"/>
      <c r="G6" s="101" t="s">
        <v>54</v>
      </c>
    </row>
    <row r="7" spans="1:7" ht="64.95" customHeight="1" x14ac:dyDescent="0.3">
      <c r="A7" s="92" t="s">
        <v>13</v>
      </c>
      <c r="B7" s="93">
        <v>67.42</v>
      </c>
      <c r="C7" s="93">
        <v>66.95</v>
      </c>
      <c r="D7" s="93">
        <v>65.680000000000007</v>
      </c>
      <c r="E7" s="93">
        <v>64.849999999999994</v>
      </c>
      <c r="F7" s="97" t="s">
        <v>47</v>
      </c>
      <c r="G7" s="88"/>
    </row>
    <row r="8" spans="1:7" ht="64.95" customHeight="1" x14ac:dyDescent="0.3">
      <c r="A8" s="92" t="s">
        <v>16</v>
      </c>
      <c r="B8" s="93">
        <v>16.78</v>
      </c>
      <c r="C8" s="93">
        <v>14.24</v>
      </c>
      <c r="D8" s="93">
        <v>18.73</v>
      </c>
      <c r="E8" s="93">
        <v>15.61</v>
      </c>
      <c r="F8" s="97" t="s">
        <v>47</v>
      </c>
      <c r="G8" s="88"/>
    </row>
    <row r="9" spans="1:7" ht="64.95" customHeight="1" x14ac:dyDescent="0.3">
      <c r="A9" s="92" t="s">
        <v>20</v>
      </c>
      <c r="B9" s="93">
        <v>9.36</v>
      </c>
      <c r="C9" s="93">
        <v>4.55</v>
      </c>
      <c r="D9" s="93">
        <v>8.66</v>
      </c>
      <c r="E9" s="93">
        <v>7.81</v>
      </c>
      <c r="F9" s="97" t="s">
        <v>47</v>
      </c>
      <c r="G9" s="88"/>
    </row>
    <row r="10" spans="1:7" x14ac:dyDescent="0.3">
      <c r="A10" s="142" t="s">
        <v>41</v>
      </c>
      <c r="B10" s="143"/>
      <c r="C10" s="143"/>
      <c r="D10" s="143"/>
      <c r="E10" s="143"/>
      <c r="F10" s="144"/>
      <c r="G10" s="101" t="s">
        <v>54</v>
      </c>
    </row>
    <row r="11" spans="1:7" ht="64.95" customHeight="1" x14ac:dyDescent="0.3">
      <c r="A11" s="92" t="s">
        <v>22</v>
      </c>
      <c r="B11" s="93">
        <v>1.86</v>
      </c>
      <c r="C11" s="93">
        <v>1.41</v>
      </c>
      <c r="D11" s="93">
        <v>1.95</v>
      </c>
      <c r="E11" s="93">
        <v>1.99</v>
      </c>
      <c r="F11" s="97" t="s">
        <v>48</v>
      </c>
      <c r="G11" s="88"/>
    </row>
    <row r="12" spans="1:7" ht="64.95" customHeight="1" x14ac:dyDescent="0.3">
      <c r="A12" s="92" t="s">
        <v>25</v>
      </c>
      <c r="B12" s="93">
        <v>196.6</v>
      </c>
      <c r="C12" s="93">
        <v>258.60000000000002</v>
      </c>
      <c r="D12" s="93">
        <v>187</v>
      </c>
      <c r="E12" s="93">
        <v>183</v>
      </c>
      <c r="F12" s="97" t="s">
        <v>49</v>
      </c>
      <c r="G12" s="88"/>
    </row>
    <row r="13" spans="1:7" ht="64.95" customHeight="1" x14ac:dyDescent="0.3">
      <c r="A13" s="92" t="s">
        <v>26</v>
      </c>
      <c r="B13" s="93">
        <v>87.79</v>
      </c>
      <c r="C13" s="93">
        <v>116.17</v>
      </c>
      <c r="D13" s="93">
        <v>74.42</v>
      </c>
      <c r="E13" s="93">
        <v>77.88</v>
      </c>
      <c r="F13" s="97" t="s">
        <v>49</v>
      </c>
      <c r="G13" s="88"/>
    </row>
    <row r="14" spans="1:7" ht="64.95" customHeight="1" x14ac:dyDescent="0.3">
      <c r="A14" s="92" t="s">
        <v>84</v>
      </c>
      <c r="B14" s="93">
        <v>621.30999999999995</v>
      </c>
      <c r="C14" s="93">
        <v>784.91</v>
      </c>
      <c r="D14" s="93">
        <v>493.98</v>
      </c>
      <c r="E14" s="93">
        <v>459.64</v>
      </c>
      <c r="F14" s="97" t="s">
        <v>49</v>
      </c>
      <c r="G14" s="88"/>
    </row>
    <row r="15" spans="1:7" x14ac:dyDescent="0.3">
      <c r="A15" s="142" t="s">
        <v>42</v>
      </c>
      <c r="B15" s="143"/>
      <c r="C15" s="143"/>
      <c r="D15" s="143"/>
      <c r="E15" s="143"/>
      <c r="F15" s="144"/>
      <c r="G15" s="101" t="s">
        <v>54</v>
      </c>
    </row>
    <row r="16" spans="1:7" ht="64.95" customHeight="1" x14ac:dyDescent="0.3">
      <c r="A16" s="92" t="s">
        <v>43</v>
      </c>
      <c r="B16" s="93">
        <v>1.1100000000000001</v>
      </c>
      <c r="C16" s="93">
        <v>0.83</v>
      </c>
      <c r="D16" s="93">
        <v>1.1599999999999999</v>
      </c>
      <c r="E16" s="93">
        <v>0.94</v>
      </c>
      <c r="F16" s="97" t="s">
        <v>50</v>
      </c>
      <c r="G16" s="88"/>
    </row>
    <row r="17" spans="1:7" ht="64.95" customHeight="1" thickBot="1" x14ac:dyDescent="0.35">
      <c r="A17" s="102" t="s">
        <v>44</v>
      </c>
      <c r="B17" s="103">
        <v>0.61</v>
      </c>
      <c r="C17" s="103">
        <v>1</v>
      </c>
      <c r="D17" s="103">
        <v>0.8</v>
      </c>
      <c r="E17" s="103">
        <v>0.8</v>
      </c>
      <c r="F17" s="104" t="s">
        <v>50</v>
      </c>
      <c r="G17" s="91"/>
    </row>
    <row r="19" spans="1:7" x14ac:dyDescent="0.3">
      <c r="A19" s="87" t="s">
        <v>37</v>
      </c>
      <c r="B19">
        <f>SUM(B16:E16)</f>
        <v>4.0399999999999991</v>
      </c>
      <c r="C19">
        <f>B19/4</f>
        <v>1.0099999999999998</v>
      </c>
    </row>
    <row r="20" spans="1:7" x14ac:dyDescent="0.3">
      <c r="A20" s="87" t="s">
        <v>38</v>
      </c>
    </row>
  </sheetData>
  <mergeCells count="4">
    <mergeCell ref="A10:F10"/>
    <mergeCell ref="A2:F2"/>
    <mergeCell ref="A6:F6"/>
    <mergeCell ref="A15:F15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ateAxis="1" displayEmptyCellsAs="gap" markers="1" displayXAxis="1" xr2:uid="{34432EFF-0BB9-47CB-B0E8-6AD463A8CEA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m:f>Analysis!B1:E1</xm:f>
          <x14:sparklines>
            <x14:sparkline>
              <xm:f>Analysis!B7:E7</xm:f>
              <xm:sqref>G7</xm:sqref>
            </x14:sparkline>
            <x14:sparkline>
              <xm:f>Analysis!B8:E8</xm:f>
              <xm:sqref>G8</xm:sqref>
            </x14:sparkline>
            <x14:sparkline>
              <xm:f>Analysis!B9:E9</xm:f>
              <xm:sqref>G9</xm:sqref>
            </x14:sparkline>
          </x14:sparklines>
        </x14:sparklineGroup>
        <x14:sparklineGroup dateAxis="1" displayEmptyCellsAs="gap" markers="1" displayXAxis="1" xr2:uid="{BE5E0336-D038-4941-9E01-5C2C803854A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m:f>Analysis!B1:E1</xm:f>
          <x14:sparklines>
            <x14:sparkline>
              <xm:f>Analysis!B11:E11</xm:f>
              <xm:sqref>G11</xm:sqref>
            </x14:sparkline>
            <x14:sparkline>
              <xm:f>Analysis!B12:E12</xm:f>
              <xm:sqref>G12</xm:sqref>
            </x14:sparkline>
            <x14:sparkline>
              <xm:f>Analysis!B13:E13</xm:f>
              <xm:sqref>G13</xm:sqref>
            </x14:sparkline>
            <x14:sparkline>
              <xm:f>Analysis!B14:E14</xm:f>
              <xm:sqref>G14</xm:sqref>
            </x14:sparkline>
          </x14:sparklines>
        </x14:sparklineGroup>
        <x14:sparklineGroup dateAxis="1" displayEmptyCellsAs="gap" markers="1" displayXAxis="1" xr2:uid="{14A04064-349C-4756-A26F-0ECCF489380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m:f>Analysis!B1:E1</xm:f>
          <x14:sparklines>
            <x14:sparkline>
              <xm:f>Analysis!B16:E16</xm:f>
              <xm:sqref>G16</xm:sqref>
            </x14:sparkline>
            <x14:sparkline>
              <xm:f>Analysis!B17:E17</xm:f>
              <xm:sqref>G17</xm:sqref>
            </x14:sparkline>
          </x14:sparklines>
        </x14:sparklineGroup>
        <x14:sparklineGroup dateAxis="1" displayEmptyCellsAs="gap" markers="1" xr2:uid="{BB1BBEDE-8206-403C-9258-319AFF8E621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m:f>Analysis!B1:E1</xm:f>
          <x14:sparklines>
            <x14:sparkline>
              <xm:f>Analysis!B3:E3</xm:f>
              <xm:sqref>G3</xm:sqref>
            </x14:sparkline>
            <x14:sparkline>
              <xm:f>Analysis!B4:E4</xm:f>
              <xm:sqref>G4</xm:sqref>
            </x14:sparkline>
            <x14:sparkline>
              <xm:f>Analysis!B5:E5</xm:f>
              <xm:sqref>G5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9825-4C80-4A00-A3EC-570B1A22517C}">
  <dimension ref="A2:G27"/>
  <sheetViews>
    <sheetView tabSelected="1" zoomScale="133" workbookViewId="0">
      <selection activeCell="A21" sqref="A21"/>
    </sheetView>
  </sheetViews>
  <sheetFormatPr defaultRowHeight="14.4" x14ac:dyDescent="0.3"/>
  <cols>
    <col min="1" max="1" width="22.21875" bestFit="1" customWidth="1"/>
    <col min="2" max="5" width="12.21875" bestFit="1" customWidth="1"/>
    <col min="7" max="7" width="10.77734375" customWidth="1"/>
  </cols>
  <sheetData>
    <row r="2" spans="1:7" x14ac:dyDescent="0.3">
      <c r="A2" s="145" t="s">
        <v>74</v>
      </c>
      <c r="B2" s="145"/>
      <c r="C2" s="145"/>
      <c r="D2" s="145"/>
      <c r="E2" s="145"/>
    </row>
    <row r="3" spans="1:7" x14ac:dyDescent="0.3">
      <c r="A3" s="105"/>
      <c r="B3" s="106">
        <v>2022</v>
      </c>
      <c r="C3" s="106">
        <v>2021</v>
      </c>
      <c r="D3" s="106">
        <v>2020</v>
      </c>
      <c r="E3" s="106">
        <v>2019</v>
      </c>
    </row>
    <row r="4" spans="1:7" x14ac:dyDescent="0.3">
      <c r="A4" s="107" t="s">
        <v>55</v>
      </c>
      <c r="B4" s="117">
        <v>29324</v>
      </c>
      <c r="C4" s="118">
        <v>24696</v>
      </c>
      <c r="D4" s="117">
        <v>34099</v>
      </c>
      <c r="E4" s="117">
        <v>33754</v>
      </c>
    </row>
    <row r="5" spans="1:7" x14ac:dyDescent="0.3">
      <c r="A5" s="107" t="s">
        <v>30</v>
      </c>
      <c r="B5" s="117">
        <v>9554</v>
      </c>
      <c r="C5" s="115">
        <v>8163</v>
      </c>
      <c r="D5" s="117">
        <v>11704</v>
      </c>
      <c r="E5" s="117">
        <v>11863</v>
      </c>
      <c r="F5" s="146"/>
    </row>
    <row r="6" spans="1:7" x14ac:dyDescent="0.3">
      <c r="A6" s="107" t="s">
        <v>14</v>
      </c>
      <c r="B6" s="114">
        <v>19770</v>
      </c>
      <c r="C6" s="115">
        <v>16533</v>
      </c>
      <c r="D6" s="114">
        <v>22395</v>
      </c>
      <c r="E6" s="114">
        <v>21891</v>
      </c>
    </row>
    <row r="7" spans="1:7" x14ac:dyDescent="0.3">
      <c r="A7" s="107" t="s">
        <v>56</v>
      </c>
      <c r="B7" s="114">
        <v>6433</v>
      </c>
      <c r="C7" s="115">
        <v>4357</v>
      </c>
      <c r="D7" s="114">
        <v>7783</v>
      </c>
      <c r="E7" s="114">
        <v>6961</v>
      </c>
    </row>
    <row r="8" spans="1:7" x14ac:dyDescent="0.3">
      <c r="A8" s="107" t="s">
        <v>57</v>
      </c>
      <c r="B8" s="114">
        <v>879</v>
      </c>
      <c r="C8" s="115">
        <v>769</v>
      </c>
      <c r="D8" s="114">
        <v>892</v>
      </c>
      <c r="E8" s="114">
        <v>912</v>
      </c>
    </row>
    <row r="9" spans="1:7" x14ac:dyDescent="0.3">
      <c r="A9" s="107" t="s">
        <v>58</v>
      </c>
      <c r="B9" s="119">
        <v>5628</v>
      </c>
      <c r="C9" s="115">
        <v>3599</v>
      </c>
      <c r="D9" s="114">
        <v>6968</v>
      </c>
      <c r="E9" s="114">
        <v>912</v>
      </c>
    </row>
    <row r="10" spans="1:7" x14ac:dyDescent="0.3">
      <c r="A10" s="107" t="s">
        <v>59</v>
      </c>
      <c r="B10" s="114">
        <v>4921</v>
      </c>
      <c r="C10" s="115">
        <v>3516</v>
      </c>
      <c r="D10" s="114">
        <v>6388</v>
      </c>
      <c r="E10" s="114">
        <v>5268</v>
      </c>
    </row>
    <row r="11" spans="1:7" x14ac:dyDescent="0.3">
      <c r="A11" s="107" t="s">
        <v>60</v>
      </c>
      <c r="B11" s="114">
        <v>4461</v>
      </c>
      <c r="C11" s="115">
        <v>3316</v>
      </c>
      <c r="D11" s="114">
        <v>5749</v>
      </c>
      <c r="E11" s="114">
        <v>4645</v>
      </c>
      <c r="F11" s="146"/>
    </row>
    <row r="12" spans="1:7" x14ac:dyDescent="0.3">
      <c r="A12" s="107" t="s">
        <v>61</v>
      </c>
      <c r="B12" s="108" t="s">
        <v>79</v>
      </c>
      <c r="C12" s="108" t="s">
        <v>80</v>
      </c>
      <c r="D12" s="108" t="s">
        <v>75</v>
      </c>
      <c r="E12" s="108" t="s">
        <v>76</v>
      </c>
    </row>
    <row r="13" spans="1:7" x14ac:dyDescent="0.3">
      <c r="A13" s="107" t="s">
        <v>62</v>
      </c>
      <c r="B13" s="108" t="s">
        <v>81</v>
      </c>
      <c r="C13" s="108" t="s">
        <v>82</v>
      </c>
      <c r="D13" s="108" t="s">
        <v>77</v>
      </c>
      <c r="E13" s="108" t="s">
        <v>78</v>
      </c>
    </row>
    <row r="14" spans="1:7" x14ac:dyDescent="0.3">
      <c r="A14" s="107" t="s">
        <v>63</v>
      </c>
      <c r="B14" s="114">
        <v>39377</v>
      </c>
      <c r="C14" s="115">
        <v>60429</v>
      </c>
      <c r="D14" s="114">
        <v>60184</v>
      </c>
      <c r="E14" s="114">
        <v>60201</v>
      </c>
    </row>
    <row r="15" spans="1:7" x14ac:dyDescent="0.3">
      <c r="A15" s="107" t="s">
        <v>64</v>
      </c>
      <c r="B15" s="114">
        <v>7053</v>
      </c>
      <c r="C15" s="115">
        <v>7860</v>
      </c>
      <c r="D15" s="114">
        <v>6952</v>
      </c>
      <c r="E15" s="114">
        <v>7202</v>
      </c>
      <c r="G15" s="109"/>
    </row>
    <row r="16" spans="1:7" x14ac:dyDescent="0.3">
      <c r="A16" s="107" t="s">
        <v>65</v>
      </c>
      <c r="B16" s="114">
        <v>3723</v>
      </c>
      <c r="C16" s="115">
        <v>4274</v>
      </c>
      <c r="D16" s="114">
        <v>6292</v>
      </c>
      <c r="E16" s="114">
        <v>4707</v>
      </c>
      <c r="G16" s="110"/>
    </row>
    <row r="17" spans="1:7" x14ac:dyDescent="0.3">
      <c r="A17" s="107" t="s">
        <v>66</v>
      </c>
      <c r="B17" s="114">
        <v>20769</v>
      </c>
      <c r="C17" s="115">
        <v>18674</v>
      </c>
      <c r="D17" s="114">
        <v>20247</v>
      </c>
      <c r="E17" s="114">
        <v>19491</v>
      </c>
      <c r="G17" s="111"/>
    </row>
    <row r="18" spans="1:7" x14ac:dyDescent="0.3">
      <c r="A18" s="107" t="s">
        <v>19</v>
      </c>
      <c r="B18" s="114">
        <v>60146</v>
      </c>
      <c r="C18" s="115">
        <v>79103</v>
      </c>
      <c r="D18" s="114">
        <v>80431</v>
      </c>
      <c r="E18" s="114">
        <v>79692</v>
      </c>
      <c r="G18" s="147"/>
    </row>
    <row r="19" spans="1:7" x14ac:dyDescent="0.3">
      <c r="A19" s="107" t="s">
        <v>67</v>
      </c>
      <c r="B19" s="114">
        <v>1347</v>
      </c>
      <c r="C19" s="115">
        <v>1347</v>
      </c>
      <c r="D19" s="114">
        <v>1346</v>
      </c>
      <c r="E19" s="114">
        <v>1346</v>
      </c>
    </row>
    <row r="20" spans="1:7" x14ac:dyDescent="0.3">
      <c r="A20" s="107" t="s">
        <v>68</v>
      </c>
      <c r="B20" s="114">
        <v>4363</v>
      </c>
      <c r="C20" s="115">
        <v>7944</v>
      </c>
      <c r="D20" s="114">
        <v>6755</v>
      </c>
      <c r="E20" s="114">
        <v>4530</v>
      </c>
    </row>
    <row r="21" spans="1:7" x14ac:dyDescent="0.3">
      <c r="A21" s="107" t="s">
        <v>69</v>
      </c>
      <c r="B21" s="114">
        <v>10096</v>
      </c>
      <c r="C21" s="115">
        <v>21342</v>
      </c>
      <c r="D21" s="114">
        <v>20808</v>
      </c>
      <c r="E21" s="114">
        <v>18357</v>
      </c>
    </row>
    <row r="22" spans="1:7" x14ac:dyDescent="0.3">
      <c r="A22" s="107" t="s">
        <v>70</v>
      </c>
      <c r="B22" s="114">
        <v>16263</v>
      </c>
      <c r="C22" s="115">
        <v>17554</v>
      </c>
      <c r="D22" s="114">
        <v>15840</v>
      </c>
      <c r="E22" s="114">
        <v>14939</v>
      </c>
      <c r="F22" s="146"/>
    </row>
    <row r="23" spans="1:7" x14ac:dyDescent="0.3">
      <c r="A23" s="107" t="s">
        <v>83</v>
      </c>
      <c r="B23" s="114">
        <v>17035</v>
      </c>
      <c r="C23" s="115">
        <v>20575</v>
      </c>
      <c r="D23" s="114">
        <v>23425</v>
      </c>
      <c r="E23" s="114">
        <v>23590</v>
      </c>
    </row>
    <row r="24" spans="1:7" x14ac:dyDescent="0.3">
      <c r="A24" s="107" t="s">
        <v>71</v>
      </c>
      <c r="B24" s="114">
        <v>27240</v>
      </c>
      <c r="C24" s="115">
        <v>34091</v>
      </c>
      <c r="D24" s="114">
        <v>37475</v>
      </c>
      <c r="E24" s="114">
        <v>37285</v>
      </c>
    </row>
    <row r="25" spans="1:7" x14ac:dyDescent="0.3">
      <c r="A25" s="107" t="s">
        <v>72</v>
      </c>
      <c r="B25" s="114">
        <v>50050</v>
      </c>
      <c r="C25" s="115">
        <v>57761</v>
      </c>
      <c r="D25" s="114">
        <v>59623</v>
      </c>
      <c r="E25" s="114">
        <v>61335</v>
      </c>
    </row>
    <row r="26" spans="1:7" x14ac:dyDescent="0.3">
      <c r="A26" s="107" t="s">
        <v>3</v>
      </c>
      <c r="B26" s="114">
        <v>22810</v>
      </c>
      <c r="C26" s="115">
        <v>23670</v>
      </c>
      <c r="D26" s="116">
        <v>22148</v>
      </c>
      <c r="E26" s="114">
        <v>24050</v>
      </c>
    </row>
    <row r="27" spans="1:7" x14ac:dyDescent="0.3">
      <c r="A27" s="107" t="s">
        <v>73</v>
      </c>
      <c r="B27" s="112">
        <v>4026</v>
      </c>
      <c r="C27" s="113">
        <v>4003</v>
      </c>
      <c r="D27" s="112">
        <v>4976</v>
      </c>
      <c r="E27" s="112">
        <v>4947</v>
      </c>
    </row>
  </sheetData>
  <mergeCells count="1">
    <mergeCell ref="A2:E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ateAxis="1" displayEmptyCellsAs="gap" markers="1" xr2:uid="{E14230D1-38A0-4A78-B47F-54FAC7E72537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m:f>Data!B1:E1</xm:f>
          <x14:sparklines>
            <x14:sparkline>
              <xm:f>Data!B3:E3</xm:f>
              <xm:sqref>G3</xm:sqref>
            </x14:sparkline>
            <x14:sparkline>
              <xm:f>Data!B4:E4</xm:f>
              <xm:sqref>G4</xm:sqref>
            </x14:sparkline>
            <x14:sparkline>
              <xm:f>Data!B5:E5</xm:f>
              <xm:sqref>G5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A33BAB597DE14391BF42571A5A0D76" ma:contentTypeVersion="6" ma:contentTypeDescription="Create a new document." ma:contentTypeScope="" ma:versionID="6da36db636dc96c485f20ae55fca5a39">
  <xsd:schema xmlns:xsd="http://www.w3.org/2001/XMLSchema" xmlns:xs="http://www.w3.org/2001/XMLSchema" xmlns:p="http://schemas.microsoft.com/office/2006/metadata/properties" xmlns:ns3="108d0132-e068-41b1-aa19-68e51b9af7ab" targetNamespace="http://schemas.microsoft.com/office/2006/metadata/properties" ma:root="true" ma:fieldsID="93ee65cd4cf6e2e743ccf79585050e01" ns3:_="">
    <xsd:import namespace="108d0132-e068-41b1-aa19-68e51b9af7a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8d0132-e068-41b1-aa19-68e51b9af7a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8d0132-e068-41b1-aa19-68e51b9af7ab" xsi:nil="true"/>
  </documentManagement>
</p:properties>
</file>

<file path=customXml/itemProps1.xml><?xml version="1.0" encoding="utf-8"?>
<ds:datastoreItem xmlns:ds="http://schemas.openxmlformats.org/officeDocument/2006/customXml" ds:itemID="{F5E53036-1B05-4506-9D62-79A8D1CC2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8d0132-e068-41b1-aa19-68e51b9af7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4E95B9-313F-41DC-82F8-DA90F2EB63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B4076D-0DE6-4B2E-A3AE-06E4FFEB7629}">
  <ds:schemaRefs>
    <ds:schemaRef ds:uri="108d0132-e068-41b1-aa19-68e51b9af7ab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Ratios with Formulae</vt:lpstr>
      <vt:lpstr>Analysis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Vijay Gadade</dc:creator>
  <cp:lastModifiedBy>Ankit Vijay Gadade</cp:lastModifiedBy>
  <dcterms:created xsi:type="dcterms:W3CDTF">2024-10-13T13:32:39Z</dcterms:created>
  <dcterms:modified xsi:type="dcterms:W3CDTF">2024-10-19T23:04:45Z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0x01010073A33BAB597DE14391BF42571A5A0D76</vt:lpwstr>
  </property>
</Properties>
</file>